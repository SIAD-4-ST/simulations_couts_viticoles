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tscivc-my.sharepoint.com/personal/mathieu_liebart_civc_fr/Documents/PST/02_Livrables/"/>
    </mc:Choice>
  </mc:AlternateContent>
  <xr:revisionPtr revIDLastSave="1482" documentId="8_{2C2FC3A8-9901-4E58-9E61-6D4A7F2EEBEA}" xr6:coauthVersionLast="47" xr6:coauthVersionMax="47" xr10:uidLastSave="{76BF7A04-09C0-4E5E-B13C-CC355E1CE0F3}"/>
  <bookViews>
    <workbookView xWindow="-108" yWindow="-108" windowWidth="23256" windowHeight="12456" activeTab="3" xr2:uid="{00000000-000D-0000-FFFF-FFFF00000000}"/>
  </bookViews>
  <sheets>
    <sheet name="ACCUEIL" sheetId="8" r:id="rId1"/>
    <sheet name="AOC" sheetId="1" r:id="rId2"/>
    <sheet name="SCENARIOS" sheetId="6" r:id="rId3"/>
    <sheet name="OPERATIONS_VIGNE" sheetId="5" r:id="rId4"/>
    <sheet name="BAREMES_MO" sheetId="3" r:id="rId5"/>
    <sheet name="BAREMES_MECANIQUE" sheetId="4" r:id="rId6"/>
    <sheet name="BAREMES_INTRANTS" sheetId="9" r:id="rId7"/>
    <sheet name="DEBIT_CHANTIER" sheetId="12" r:id="rId8"/>
    <sheet name="CONTROLES" sheetId="13" r:id="rId9"/>
  </sheets>
  <calcPr calcId="191028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tc={EBF83CC4-3FFE-4C32-B658-390F5D44C4CD}</author>
    <author>tc={D026733A-E570-43C6-8159-18B9A5AFC093}</author>
  </authors>
  <commentList>
    <comment ref="C5" authorId="0" shapeId="0" xr:uid="{EBF83CC4-3FFE-4C32-B658-390F5D44C4C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PLUTÖT RAISONNER EN COÜT D’UN ENTREPLANT plus facile pour les calculs</t>
      </text>
    </comment>
    <comment ref="G58" authorId="1" shapeId="0" xr:uid="{D026733A-E570-43C6-8159-18B9A5AFC09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1️⃣ Vitesse de vendange manuelle – références terrain
Les sources institutionnelles et professionnelles ne donnent pas une valeur unique officielle, mais les ordres de grandeur suivants sont ceux utilisés par les exploitations et prestataires champenois (cueilleurs + porteurs, sans tri fin).
🔹 Vitesse par vendangeur (cueilleur)
250 à 350 kg de raisin / jour / personne
soit environ 30 à 45 kg / heure
[champagne-...e-pajon.fr], [viteam.fr]
👉 En conditions normales (vignes saines, rendement ~9–10 t/ha).
2️⃣ Conversion en temps par hectare
Hypothèse standard Champagne
Rendement vendangé : 9 000 à 10 000 kg/ha
Journée de travail : 8 h
⏱️ Temps de vendange (cueillette seule)
Rendementkg/h/persh/ha/pers9 000 kg/ha35 kg/h257 h/ha9 000 kg/ha40 kg/h225 h/ha10 000 kg/ha35 kg/h286 h/ha10 000 kg/ha40 kg/h250 h/ha
➡️ Référence robuste à retenir pour la maquette :
✅ 240 à 280 h/ha de main-d’œuvre vendange
3️⃣ Organisation réelle d’une équipe de vendange
En Champagne, le coût ne vient pas seulement des cueilleurs.
Composition type (ordre de grandeur)
60–70 % cueilleurs
20–25 % porteurs
5–10 % encadrement / chauffeurs
➡️ On applique classiquement un coefficient d’organisation.
🔧 Coefficient organisation vendange
× 1,25 à 1,35 sur les heures de cueillette pure
[viteam.fr], [maisons-ch...mpagne.com]
⏱️ Temps total vendange “complet”
300 à 360 h/ha (cueillette + portage + encadrement)
✅ Valeur centrale utilisée en coût de production :
≈ 330 h/ha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tc={4DB16CA2-C4B0-447E-B070-A92B330B9E57}</author>
  </authors>
  <commentList>
    <comment ref="A23" authorId="0" shapeId="0" xr:uid="{4DB16CA2-C4B0-447E-B070-A92B330B9E5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largeur de travail x vitesse avancement x0,7 *0,1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<sst xmlns="http://schemas.openxmlformats.org/spreadsheetml/2006/main" count="1615" uniqueCount="741">
  <si>
    <t>Objectif : centraliser toutes les hypothèses globales (Champagne, économiques, réglementaires) pour éviter de les dupliquer partout.</t>
  </si>
  <si>
    <t>ha</t>
  </si>
  <si>
    <t>Marne</t>
  </si>
  <si>
    <t>Hypothèses rendement :</t>
  </si>
  <si>
    <t>Volume_commercialisable</t>
  </si>
  <si>
    <t>kg/ha</t>
  </si>
  <si>
    <t>Rendement_agronomique</t>
  </si>
  <si>
    <t>Réserve</t>
  </si>
  <si>
    <t>Hypothèses économiques :</t>
  </si>
  <si>
    <t>Prix_kg_raisin_scenario_1</t>
  </si>
  <si>
    <t>€/kg</t>
  </si>
  <si>
    <t>Prix_kg_raisin_scenario_2</t>
  </si>
  <si>
    <t>Paramètres généraux :</t>
  </si>
  <si>
    <t>Durée_journée_travail</t>
  </si>
  <si>
    <t>h</t>
  </si>
  <si>
    <t>Taux_intérêt</t>
  </si>
  <si>
    <t>pour amortissements actualisés</t>
  </si>
  <si>
    <t>ID_scenario</t>
  </si>
  <si>
    <t>Cout_op</t>
  </si>
  <si>
    <t>Surf_op</t>
  </si>
  <si>
    <t>Nb_op</t>
  </si>
  <si>
    <t>Arrachage pied mort</t>
  </si>
  <si>
    <t>&lt;1</t>
  </si>
  <si>
    <t>de 1 à 5</t>
  </si>
  <si>
    <t>de 5 à 10</t>
  </si>
  <si>
    <r>
      <rPr>
        <sz val="11"/>
        <color theme="1"/>
        <rFont val="Aptos Narrow"/>
        <family val="2"/>
      </rPr>
      <t>≥</t>
    </r>
    <r>
      <rPr>
        <sz val="9.35"/>
        <color theme="1"/>
        <rFont val="CIVC Sans Light"/>
      </rPr>
      <t>10</t>
    </r>
  </si>
  <si>
    <t>Aisne et Seine-et-Marne</t>
  </si>
  <si>
    <t>Aube et Haute-Marne</t>
  </si>
  <si>
    <t>HVE+VDC+AUTRE</t>
  </si>
  <si>
    <t>BIO+BIODYNAMIE</t>
  </si>
  <si>
    <t>SANS</t>
  </si>
  <si>
    <t>SCENARIO</t>
  </si>
  <si>
    <t>SURF</t>
  </si>
  <si>
    <t>DEP</t>
  </si>
  <si>
    <t>CERT</t>
  </si>
  <si>
    <t>NB_EST</t>
  </si>
  <si>
    <t>SURF_EST</t>
  </si>
  <si>
    <t>Code_op</t>
  </si>
  <si>
    <t>Famille_op</t>
  </si>
  <si>
    <t>Libellé_opération</t>
  </si>
  <si>
    <t>Mode_conduite</t>
  </si>
  <si>
    <t>Type_organisation</t>
  </si>
  <si>
    <t>Code_MO_principal</t>
  </si>
  <si>
    <t>h_MO_ha</t>
  </si>
  <si>
    <t>Cout_MO_ha</t>
  </si>
  <si>
    <t>Code_machine</t>
  </si>
  <si>
    <t>h_machine_ha</t>
  </si>
  <si>
    <t>Cout_machine_ha</t>
  </si>
  <si>
    <t>Code_intrant</t>
  </si>
  <si>
    <t>Q_intrant_ha</t>
  </si>
  <si>
    <t>Cout_intrant_ha</t>
  </si>
  <si>
    <t>Cout total HT (€/ha)</t>
  </si>
  <si>
    <t>VE</t>
  </si>
  <si>
    <t>Exploitation</t>
  </si>
  <si>
    <t>MO_TRAC</t>
  </si>
  <si>
    <t xml:space="preserve">Prétaille </t>
  </si>
  <si>
    <t>prétaillage mécanique</t>
  </si>
  <si>
    <t>ENG_ENJ</t>
  </si>
  <si>
    <t>prétaillage manuel</t>
  </si>
  <si>
    <t>MO_OUV</t>
  </si>
  <si>
    <t>VSL</t>
  </si>
  <si>
    <t>Taille</t>
  </si>
  <si>
    <t>Taille Chablis</t>
  </si>
  <si>
    <t xml:space="preserve">Taille Cordon </t>
  </si>
  <si>
    <t xml:space="preserve">Taille VDM </t>
  </si>
  <si>
    <t>Taille Guyot VSL</t>
  </si>
  <si>
    <t>Taille exploitation (valeur moyenne VE)</t>
  </si>
  <si>
    <t>Taille prestation (valeur moyenne VE)</t>
  </si>
  <si>
    <t>Prestataire</t>
  </si>
  <si>
    <t>Taille exploitation (valeur moyenne VSL)</t>
  </si>
  <si>
    <t>Taille prestation (valeur moyenne VSL)</t>
  </si>
  <si>
    <t>Réparation</t>
  </si>
  <si>
    <t>Réparation (valeur moyenne)</t>
  </si>
  <si>
    <t>NA</t>
  </si>
  <si>
    <t xml:space="preserve">Broyage </t>
  </si>
  <si>
    <t>Broyage exploitation (valeur moyenne)</t>
  </si>
  <si>
    <t>Broyage prestation (valeur moyenne)</t>
  </si>
  <si>
    <t>Entretien sol</t>
  </si>
  <si>
    <t>Entretien sol mécanique exploit VE</t>
  </si>
  <si>
    <t>Entretien sol mécanique presta VE</t>
  </si>
  <si>
    <t>Entretien sol mécanique exploit VSL</t>
  </si>
  <si>
    <t>Entretien sol mécanique presta VSL</t>
  </si>
  <si>
    <t>Entretien sol chimique exploit VSL</t>
  </si>
  <si>
    <t>Entretien sol chimique presta VSL</t>
  </si>
  <si>
    <t>Entretien sol chimique exploit VE</t>
  </si>
  <si>
    <t>Entretien sol chimique presta VE</t>
  </si>
  <si>
    <t xml:space="preserve">Entreplantation </t>
  </si>
  <si>
    <t>Entreplantation exploit</t>
  </si>
  <si>
    <t>Entreplantation presta</t>
  </si>
  <si>
    <t xml:space="preserve">Pose RAK </t>
  </si>
  <si>
    <t>Pose RAK exploit</t>
  </si>
  <si>
    <t>Fertilisation</t>
  </si>
  <si>
    <t>Chélates</t>
  </si>
  <si>
    <t>Liage</t>
  </si>
  <si>
    <t>Liage exploit VE</t>
  </si>
  <si>
    <t>Liage exploit VSL</t>
  </si>
  <si>
    <t>Liage presta VE</t>
  </si>
  <si>
    <t>Liage presta VSL</t>
  </si>
  <si>
    <t>Baissage fils</t>
  </si>
  <si>
    <t>Ebourgeonage</t>
  </si>
  <si>
    <t>Relevage</t>
  </si>
  <si>
    <t>Protection</t>
  </si>
  <si>
    <t>Palissage</t>
  </si>
  <si>
    <t xml:space="preserve">Rognage </t>
  </si>
  <si>
    <t xml:space="preserve">Effeuillage </t>
  </si>
  <si>
    <t xml:space="preserve">Cisaille </t>
  </si>
  <si>
    <t>Entretien des abords</t>
  </si>
  <si>
    <t xml:space="preserve">Entretien des batiments et véhicules </t>
  </si>
  <si>
    <t>Vendanges</t>
  </si>
  <si>
    <t>Vendange manuelle</t>
  </si>
  <si>
    <t>Mixte</t>
  </si>
  <si>
    <t>Transport raisins → pressoir</t>
  </si>
  <si>
    <t>Code_MO</t>
  </si>
  <si>
    <t>Libellé</t>
  </si>
  <si>
    <t>Salaire_brut_€/h</t>
  </si>
  <si>
    <t>Charges_%</t>
  </si>
  <si>
    <t>Coût_total_€/h</t>
  </si>
  <si>
    <t>Remarques</t>
  </si>
  <si>
    <t>Ouvrier viticole</t>
  </si>
  <si>
    <t>Taille, travaux en vert</t>
  </si>
  <si>
    <t>Tractoriste</t>
  </si>
  <si>
    <t>Conduite tracteur / enjambeur</t>
  </si>
  <si>
    <t>MO_SAIS</t>
  </si>
  <si>
    <t>Saisonnier vendange</t>
  </si>
  <si>
    <t>Vendangeur</t>
  </si>
  <si>
    <t>MO_CHEF</t>
  </si>
  <si>
    <t>Chef d’équipe</t>
  </si>
  <si>
    <t>Organisation vendange</t>
  </si>
  <si>
    <t>Type_machine</t>
  </si>
  <si>
    <t>Valeur_achat_€</t>
  </si>
  <si>
    <t>Durée_amortissement_ans</t>
  </si>
  <si>
    <t>Heures_annuelles_tot</t>
  </si>
  <si>
    <t>Entretien_annuel_€</t>
  </si>
  <si>
    <t>Carburant_l/h</t>
  </si>
  <si>
    <t>Prix_GNR_€/l</t>
  </si>
  <si>
    <t>Autres_frais_annuels_€</t>
  </si>
  <si>
    <t>Coût_h_€/h</t>
  </si>
  <si>
    <t>Enjambeur 2 rangs</t>
  </si>
  <si>
    <t>ENG_CHEN</t>
  </si>
  <si>
    <t>ROB_DESH</t>
  </si>
  <si>
    <t>Glyphosate</t>
  </si>
  <si>
    <t>Prestation taille</t>
  </si>
  <si>
    <t>MO_PRES_TAILLE</t>
  </si>
  <si>
    <t>Prestation Phyto</t>
  </si>
  <si>
    <t>MO_PRES_PPP</t>
  </si>
  <si>
    <t>Prestation TDS</t>
  </si>
  <si>
    <t>Prestation Vendange</t>
  </si>
  <si>
    <t>Prestation Arrachage</t>
  </si>
  <si>
    <t>MO_PRES_TDS</t>
  </si>
  <si>
    <t>MO_PRES_VEN</t>
  </si>
  <si>
    <t>MO_PRES_ARR</t>
  </si>
  <si>
    <t>Pulvérisation (1 passage Presta)</t>
  </si>
  <si>
    <t>Pulvérisation (1 passage Exploit)</t>
  </si>
  <si>
    <t xml:space="preserve">Relevage avec fil de pied </t>
  </si>
  <si>
    <t>Robot désherbeur électrique</t>
  </si>
  <si>
    <t>Abords de parcelles (entretien)</t>
  </si>
  <si>
    <t>Batiments-véhicules (entretien)</t>
  </si>
  <si>
    <t>Ordre</t>
  </si>
  <si>
    <t xml:space="preserve">Relevage sans fil de pied </t>
  </si>
  <si>
    <t>Temps_op</t>
  </si>
  <si>
    <t>Source/hypothèse</t>
  </si>
  <si>
    <t>9 pieds/h</t>
  </si>
  <si>
    <t>50 pieds/h</t>
  </si>
  <si>
    <t>🛠️ Simulateur de débit de chantier (à l'hectare)</t>
  </si>
  <si>
    <t>📐 Hypothèses parcelle (base : 100 m × 100 m = 1 ha)</t>
  </si>
  <si>
    <t>🚜 Mode machine (vitesse d'avancement)</t>
  </si>
  <si>
    <t>🧑‍🌾 Mode manuel (pieds/heure)</t>
  </si>
  <si>
    <t>Longueur parcelle (m)</t>
  </si>
  <si>
    <t>Largeur parcelle (m)</t>
  </si>
  <si>
    <t>Écartement entre rangs (m)</t>
  </si>
  <si>
    <t>Écartement entre pieds (m)</t>
  </si>
  <si>
    <t>Nombre de rangs (entrée)</t>
  </si>
  <si>
    <t>Longueur d'un rang (m)</t>
  </si>
  <si>
    <t>Surface parcelle (ha)</t>
  </si>
  <si>
    <t>Vitesse d'avancement (km/h)</t>
  </si>
  <si>
    <t>Rangs travaillés par passage</t>
  </si>
  <si>
    <t>Temps demi-tour par passage (s)</t>
  </si>
  <si>
    <t>Nombre de passages</t>
  </si>
  <si>
    <t>Distance parcourue (m)</t>
  </si>
  <si>
    <t>Temps total (h)</t>
  </si>
  <si>
    <t>Débit (ha/h)</t>
  </si>
  <si>
    <t>Temps (h/ha)</t>
  </si>
  <si>
    <t>Rendement (pieds/h)</t>
  </si>
  <si>
    <t>Nombre de pieds (parcelle)</t>
  </si>
  <si>
    <t>📈 Sensibilité vitesse (machine)</t>
  </si>
  <si>
    <t>Vitesse (km/h)</t>
  </si>
  <si>
    <t>Temps d'arrêt</t>
  </si>
  <si>
    <t>Temps travail (h)</t>
  </si>
  <si>
    <t>70 pieds/h</t>
  </si>
  <si>
    <t>4,7 ares/jour ou 55 pieds/h</t>
  </si>
  <si>
    <t>Temps route</t>
  </si>
  <si>
    <t>2 rangs, 4km/h</t>
  </si>
  <si>
    <t>1200 pieds/h</t>
  </si>
  <si>
    <t>🧭 Utilisez les onglets en bas d'Excel pour changer de feuille.</t>
  </si>
  <si>
    <t>(Les liens cliquables sont désactivés par les paramètres de sécurité : les boutons ci-dessous servent de repères visuels.)</t>
  </si>
  <si>
    <t>Onglet</t>
  </si>
  <si>
    <t>Où le trouver ?</t>
  </si>
  <si>
    <t>Hypothèses globales (rendement, prix, etc.)</t>
  </si>
  <si>
    <t>Onglet « PARAMETRES »</t>
  </si>
  <si>
    <t>SCENARIOS</t>
  </si>
  <si>
    <t>Liste / synthèse des scénarios</t>
  </si>
  <si>
    <t>Onglet « SCENARIOS »</t>
  </si>
  <si>
    <t>OPERATIONS_VIGNE</t>
  </si>
  <si>
    <t>Opérations, temps et coûts par ha</t>
  </si>
  <si>
    <t>Onglet « OPERATIONS_VIGNE »</t>
  </si>
  <si>
    <t>BAREMES_MO</t>
  </si>
  <si>
    <t>Coûts horaires main d'œuvre</t>
  </si>
  <si>
    <t>Onglet « BAREMES_MO »</t>
  </si>
  <si>
    <t>BAREMES_MECANIQUE</t>
  </si>
  <si>
    <t>Coûts horaires machines</t>
  </si>
  <si>
    <t>Onglet « BAREMES_MECANIQUE »</t>
  </si>
  <si>
    <t>BAREMES_INTRANTS</t>
  </si>
  <si>
    <t>Prix des intrants par passage</t>
  </si>
  <si>
    <t>Onglet « BAREMES_INTRANTS »</t>
  </si>
  <si>
    <t>DEBIT_CHANTIER</t>
  </si>
  <si>
    <t>Simulateur ha/h (vitesse / pieds/h)</t>
  </si>
  <si>
    <t>Onglet « DEBIT_CHANTIER »</t>
  </si>
  <si>
    <t>ACCUEIL</t>
  </si>
  <si>
    <t>Onglet « ACCUEIL »</t>
  </si>
  <si>
    <t>Description de l'outils</t>
  </si>
  <si>
    <t>Opérations</t>
  </si>
  <si>
    <t>20 pieds/h; 90 pieds/ha</t>
  </si>
  <si>
    <t>35€/h</t>
  </si>
  <si>
    <t>400 pieds/h</t>
  </si>
  <si>
    <t>Plant de vigne</t>
  </si>
  <si>
    <t xml:space="preserve">Chenillard </t>
  </si>
  <si>
    <t>Engrais organique (6%)</t>
  </si>
  <si>
    <t>Chélate de fer EDDHA 6 %</t>
  </si>
  <si>
    <t>35-40 kg / h + coefficient organisation (x 1,35)</t>
  </si>
  <si>
    <t>Rak</t>
  </si>
  <si>
    <t>350 pieds/h</t>
  </si>
  <si>
    <t>Prospection Flavescence dorée</t>
  </si>
  <si>
    <t>Prospection</t>
  </si>
  <si>
    <t>Taille Guyot</t>
  </si>
  <si>
    <t xml:space="preserve">1 rang à vitesse d emarche </t>
  </si>
  <si>
    <t>SC_1</t>
  </si>
  <si>
    <t>SC_2</t>
  </si>
  <si>
    <t>SC_3</t>
  </si>
  <si>
    <t>SC_4</t>
  </si>
  <si>
    <t>SC_5</t>
  </si>
  <si>
    <t>SC_6</t>
  </si>
  <si>
    <t>SC_7</t>
  </si>
  <si>
    <t>SC_8</t>
  </si>
  <si>
    <t>SC_9</t>
  </si>
  <si>
    <t>SC_10</t>
  </si>
  <si>
    <t>SC_11</t>
  </si>
  <si>
    <t>SC_12</t>
  </si>
  <si>
    <t>SC_13</t>
  </si>
  <si>
    <t>SC_14</t>
  </si>
  <si>
    <t>SC_15</t>
  </si>
  <si>
    <t>SC_16</t>
  </si>
  <si>
    <t>SC_17</t>
  </si>
  <si>
    <t>SC_18</t>
  </si>
  <si>
    <t>SC_19</t>
  </si>
  <si>
    <t>SC_20</t>
  </si>
  <si>
    <t>SC_21</t>
  </si>
  <si>
    <t>SC_22</t>
  </si>
  <si>
    <t>SC_23</t>
  </si>
  <si>
    <t>SC_24</t>
  </si>
  <si>
    <t>SC_25</t>
  </si>
  <si>
    <t>SC_26</t>
  </si>
  <si>
    <t>SC_27</t>
  </si>
  <si>
    <t>SC_28</t>
  </si>
  <si>
    <t>SC_29</t>
  </si>
  <si>
    <t>SC_30</t>
  </si>
  <si>
    <t>SC_31</t>
  </si>
  <si>
    <t>SC_32</t>
  </si>
  <si>
    <t>SC_33</t>
  </si>
  <si>
    <t>SC_34</t>
  </si>
  <si>
    <t>SC_35</t>
  </si>
  <si>
    <t>SC_36</t>
  </si>
  <si>
    <t>%_nb</t>
  </si>
  <si>
    <t>%_surf</t>
  </si>
  <si>
    <t>surf_moy (ha)</t>
  </si>
  <si>
    <t>Objectif</t>
  </si>
  <si>
    <t>Calcule un coût technique opérationnel, pas encore un coût économique complet.</t>
  </si>
  <si>
    <t>AOC</t>
  </si>
  <si>
    <r>
      <rPr>
        <b/>
        <sz val="8"/>
        <color theme="1"/>
        <rFont val="CIVC Sans Light"/>
      </rPr>
      <t>cout_op</t>
    </r>
    <r>
      <rPr>
        <b/>
        <sz val="11"/>
        <color theme="1"/>
        <rFont val="CIVC Sans Light"/>
      </rPr>
      <t xml:space="preserve"> (€/ha)</t>
    </r>
  </si>
  <si>
    <r>
      <rPr>
        <b/>
        <sz val="8"/>
        <color theme="1"/>
        <rFont val="CIVC Sans Light"/>
      </rPr>
      <t>temps_op</t>
    </r>
    <r>
      <rPr>
        <b/>
        <sz val="9"/>
        <color theme="1"/>
        <rFont val="CIVC Sans Light"/>
      </rPr>
      <t xml:space="preserve"> </t>
    </r>
    <r>
      <rPr>
        <b/>
        <sz val="11"/>
        <color theme="1"/>
        <rFont val="CIVC Sans Light"/>
      </rPr>
      <t>(h/ha)</t>
    </r>
  </si>
  <si>
    <t>exp.</t>
  </si>
  <si>
    <t>Cout_op_ha</t>
  </si>
  <si>
    <t>Pulvérisation (1 passage cuivre)</t>
  </si>
  <si>
    <t>Pulvérisation (1 passage soufre)</t>
  </si>
  <si>
    <t>Pulvérisation (1 passage folpel)</t>
  </si>
  <si>
    <t>Type</t>
  </si>
  <si>
    <t>Nom commerciaux</t>
  </si>
  <si>
    <t>Herbicides de pré-levée</t>
  </si>
  <si>
    <t>penoxsulame</t>
  </si>
  <si>
    <t>Boa</t>
  </si>
  <si>
    <t>flumioxazine</t>
  </si>
  <si>
    <t>Pledge ; Rami</t>
  </si>
  <si>
    <t>napropamide</t>
  </si>
  <si>
    <t>Dévrinol F</t>
  </si>
  <si>
    <t>propyzamide</t>
  </si>
  <si>
    <t>Kerb Flo</t>
  </si>
  <si>
    <t>flazasulfuron</t>
  </si>
  <si>
    <t>Katana 25 WG ; Minsk ; Matsuda ; Pamela ; Jogg</t>
  </si>
  <si>
    <t>pendiméthaline</t>
  </si>
  <si>
    <t>Pentium Flo</t>
  </si>
  <si>
    <t>Herbicides de post-levée</t>
  </si>
  <si>
    <t>acide pélargonique</t>
  </si>
  <si>
    <t>Beloukha</t>
  </si>
  <si>
    <t>cycloxydime</t>
  </si>
  <si>
    <t>Stratos Ultra ; Devin</t>
  </si>
  <si>
    <t>fluazifop-P-butyl</t>
  </si>
  <si>
    <t>Fusilade Max</t>
  </si>
  <si>
    <t>propaquizafop</t>
  </si>
  <si>
    <t>Agil ; Claxon ; Ambition ; Kalamos</t>
  </si>
  <si>
    <t>pyraflufen-éthyl</t>
  </si>
  <si>
    <t>Gozaï ; Sorcier ; Guerrier</t>
  </si>
  <si>
    <t>Buggy 360 Power ; Hockey Pro 360 ; Gallup ST ; Glister Ultra 360 ; Barbarian ST ; Solar 360 ; Roundup Flash Plus ; Roundup Evolution ; Freeway 480 ; Cayenne Class’One 480 ; Crossover Highland Island 480 ; Roundup Dynamic ; Roundup Ultimate</t>
  </si>
  <si>
    <t>carfentrazone-éthyl</t>
  </si>
  <si>
    <t>Spotlight Plus ; Shark</t>
  </si>
  <si>
    <t>Fongicides mildiou</t>
  </si>
  <si>
    <t>mandipropamide</t>
  </si>
  <si>
    <t>Carial C pépite ; Pergado C pépite ; Ampexio ; Revoluxio ; Pexium</t>
  </si>
  <si>
    <t>valifénalate</t>
  </si>
  <si>
    <t>Valis F</t>
  </si>
  <si>
    <t>zoxamide</t>
  </si>
  <si>
    <t>Ampexio ; Revoluxio ; Pexium ; Electis bleu ; Amaline Flow ; Ventaro ; Idaho ; Pajo ; Electis CX ; Zorvec Zelavin Trel ; Zorvec Zelavin + Triangle</t>
  </si>
  <si>
    <t>cymoxanil</t>
  </si>
  <si>
    <t>Idaho ; Pajo ; Electis CX ; Sarman F ; Enomix F ; Escadril ; Amarok ; Vitipec WG Advance ; Valiant Flash ; Lexic Flash ; Momentum Trio ; Igloo ; Agenda</t>
  </si>
  <si>
    <t>cyazofamide</t>
  </si>
  <si>
    <t>Mildicut ; Kenkio ; Ysayo ; Videryo F</t>
  </si>
  <si>
    <t>amétoctradine</t>
  </si>
  <si>
    <t>Enervin Activ + Facinan ; Enervin Activ + Epatan ; Enervin Activ + Alucinan ; Enervin Activ + LBG</t>
  </si>
  <si>
    <t>fluopicolide</t>
  </si>
  <si>
    <t>Profiler ; Tébaïde ; Prevasion</t>
  </si>
  <si>
    <t>oxathiapiproline</t>
  </si>
  <si>
    <t>Zorvec Zelavin Bria ; Zorvec Zelavin Trel ; Zorvec Zelavin + Triangle ; Pass Orondis ; Zongruum ; Pack Zorvec Dyonisos ; Pack Zorvec Zelavin Zeus</t>
  </si>
  <si>
    <t>amisulbrom</t>
  </si>
  <si>
    <t>Pass Orondis ; Zongruum</t>
  </si>
  <si>
    <t>fosétyl-Al</t>
  </si>
  <si>
    <t>Optix disperss ; Hidalgo Star ; Vino Star ; Mikal Flash ; Kilim Flash ; Medeiro WG ; Option Flash ; Valiant Flash ; Lexic Flash ; Momentum Trio ; Igloo ; Agenda ; Pangolin DG ; Falarik DG ; Profiler ; Tébaïde ; Prevasion</t>
  </si>
  <si>
    <t>phosphonate de disodium</t>
  </si>
  <si>
    <t>Mildicut ; Kenkio ; Ysayo ; Redeli ; BCP 358 FC ; Fosfodium</t>
  </si>
  <si>
    <t>phosphonate de potassium</t>
  </si>
  <si>
    <t>Pack Zorvec Zelavin Zeus ; Enervin Activ + LBG ; LBG 01F34 ; Pertinan ; Etonan ; Alucinan ; Facinan ; Kamparano ; Tenrok ; Boing ; Phytosarcan ; Plantsar ; Limit ; Syncity ; Futura ; Zenact</t>
  </si>
  <si>
    <t>dithianon</t>
  </si>
  <si>
    <t>Futura ; Zenact</t>
  </si>
  <si>
    <t>folpel</t>
  </si>
  <si>
    <t>Valis F ; Hidalgo Star ; Vino Star ; Mikal Flash ; Kilim Flash ; Medeiro WG ; Option Flash ; Valiant Flash ; Lexic Flash ; Momentum Trio ; Igloo ; Agenda ; Syncity ; Videryo F ; Zorvec Zelavin Bria ; Fantic F WG ; Pack EFFI Palmir + Stikine ; Pandero Gold ; Sarman F ; Enomix F ; Escadril ; Amarok ; Vitipec WG Advance ; Foltane FL ; Folpan SC ; Tamouz ; Folpec Advance 80 WG ; Folpan 80 WDG</t>
  </si>
  <si>
    <t>benalaxyl-M</t>
  </si>
  <si>
    <t>Bandido ; Archimede ; Fantic F WG ; Pack EFFI Palmir + Stikine</t>
  </si>
  <si>
    <t>métalaxyl-M</t>
  </si>
  <si>
    <t>Pandero Gold</t>
  </si>
  <si>
    <t>cuivre (hydroxyde + oxychlorure)</t>
  </si>
  <si>
    <t>Airone SC ; Grifon SC ; Bandido ; Archimede ; Cuprocol Duo ; Evoram</t>
  </si>
  <si>
    <t>cuivre (sulfate de cuivre)</t>
  </si>
  <si>
    <t>Bouillie bordelaise RSR disperss NC ; Eqal DG ; Bouillie bordelaise Caffaro WG ; Bouillie bordelaise Manica ; Maniflow ; Super Bouillie Macclesfield 80 ; Cuprussul 20 WG ; Cupro Top 20 WG</t>
  </si>
  <si>
    <t>cuivre (sulfate tribasique)</t>
  </si>
  <si>
    <t>Cuproxat SC ; Fregate SC ; Pangolin DG ; Falarik DG ; Electis bleu ; Amaline Flow ; Ventaro</t>
  </si>
  <si>
    <t>cuivre (hydroxyde de cuivre)</t>
  </si>
  <si>
    <t>Champ Flo Ampli ; Heliocuivre ; Helioterpen Cuivre ; Kocide 35 DF ; Kocide 2000 ; Kocide Flow ; Funguran-OH ; Mexiram Hi Bio ; Hydro Super 25 WG ; Pack Zorvec Dyonisos ; Cuprocol Duo ; Evoram</t>
  </si>
  <si>
    <t>cuivre (oxyde cuivreux)</t>
  </si>
  <si>
    <t>Nordox 75 WG ; Mojox 75 WG</t>
  </si>
  <si>
    <t>cuivre (oxychlorure de cuivre)</t>
  </si>
  <si>
    <t>Yucca ; Carial C pépite ; Pergado C pépite ; Bandido ; Archimede ; Cuprocol Duo ; Evoram</t>
  </si>
  <si>
    <t>COS-OGA</t>
  </si>
  <si>
    <t>Messager ; Fytosave ; Esdeaine</t>
  </si>
  <si>
    <t>huile essentielle d’orange douce</t>
  </si>
  <si>
    <t>Essen'Ciel ; Limocide</t>
  </si>
  <si>
    <t>cerevisane</t>
  </si>
  <si>
    <t>Romeo</t>
  </si>
  <si>
    <t>ABE-IT 56</t>
  </si>
  <si>
    <t>Belvine ABE-IT 56</t>
  </si>
  <si>
    <t>Fongicides oïdium</t>
  </si>
  <si>
    <t>spiroxamine</t>
  </si>
  <si>
    <t>Prosper ; Hoggar ; Spirox ; Florali</t>
  </si>
  <si>
    <t>pyriofénone</t>
  </si>
  <si>
    <t>Kusabi ; Pyrioviti</t>
  </si>
  <si>
    <t>métrafénone</t>
  </si>
  <si>
    <t>Vivando ; Algebre ; Ancolie ; Eluvia ; Cultigo</t>
  </si>
  <si>
    <t>boscalid</t>
  </si>
  <si>
    <t>Collis ; Hexagon ; Cantus</t>
  </si>
  <si>
    <t>fluopyram</t>
  </si>
  <si>
    <t>Luna Xtend ; Luna Sensation</t>
  </si>
  <si>
    <t>fluxapyroxad</t>
  </si>
  <si>
    <t>Yaris</t>
  </si>
  <si>
    <t>cyflufénamid</t>
  </si>
  <si>
    <t>Cyflodium ; Cidely ; Dynali ; Rocca ; Lydiane ; Conydia</t>
  </si>
  <si>
    <t>proquinazid</t>
  </si>
  <si>
    <t>Talendo ; Kesys ; Talius</t>
  </si>
  <si>
    <t>tébuconazole</t>
  </si>
  <si>
    <t>Tebutec ; Mayandra ; Physalis</t>
  </si>
  <si>
    <t>difénoconazole</t>
  </si>
  <si>
    <t>Score ; Bogard ; Cerimonia ; Disco ; Invictus ; Difcor ; Dynali ; Rocca ; Lydiane ; Conydia</t>
  </si>
  <si>
    <t>penconazole</t>
  </si>
  <si>
    <t>Topaze</t>
  </si>
  <si>
    <t>méfentrifluconazole</t>
  </si>
  <si>
    <t>Revyvit ; Skyra</t>
  </si>
  <si>
    <t>krésoxym-méthyl</t>
  </si>
  <si>
    <t>Collis ; Hexagon</t>
  </si>
  <si>
    <t>trifloxystrobine</t>
  </si>
  <si>
    <t>Luna Xtend ; Luna Sensation ; Physalis ; Natchez</t>
  </si>
  <si>
    <t>soufre</t>
  </si>
  <si>
    <t>Héliosoufre S ; Hélioterpen Soufre ; Biosoufre ; Whisper ; Kashmir ; Auditorium ; Kumulus DF ; Trilog ; Azupec ; Microthiol Special disperss ; Pennthiol DG ; Citrothiol DG ; Soufrebe DG ; Colpenn DG ; Pennthiol Rainfree ; Thiopron Rainfree ; Citrothiol Rainfree ; Sulforix Rainfree ; Lucifere S ; Faeton SC ; Dartagnan ; Azzurri ; Flosul SC ; Creta ; Cosavet DF ; Sulbari DF ; Visul GD 80 ; Thiovit Jet Microbille ; Fluidosoufre ; Soufre Sublime Afepasa ; Florfluid ; Grain d’or ; Orofluid</t>
  </si>
  <si>
    <t>hydrogénocarbonate / bicarbonate de potassium</t>
  </si>
  <si>
    <t>Armicarb ; Vitisan</t>
  </si>
  <si>
    <t>huile d’orange douce</t>
  </si>
  <si>
    <t>Essen'Ciel ; Limocide ; PREV-AM ULTRA ; PREV-GOLD</t>
  </si>
  <si>
    <t>Bacillus pumilus</t>
  </si>
  <si>
    <t>Sonata</t>
  </si>
  <si>
    <t>Bacillus amyloliquefaciens</t>
  </si>
  <si>
    <t>Taegro</t>
  </si>
  <si>
    <t>Blason ; Bastid ; Messager ; Fytosave ; Esdéaine</t>
  </si>
  <si>
    <t>laminarine</t>
  </si>
  <si>
    <t>Vinivax</t>
  </si>
  <si>
    <t>Fongicides botrytis</t>
  </si>
  <si>
    <t>fludioxonil</t>
  </si>
  <si>
    <t>Géoxe WG ; Safir WG ; Serenva ; Switch</t>
  </si>
  <si>
    <t>cyprodinil</t>
  </si>
  <si>
    <t>Serenva ; Switch</t>
  </si>
  <si>
    <t>pyriméthanil</t>
  </si>
  <si>
    <t>Scala ; Toucan ; Erune ; Laitone</t>
  </si>
  <si>
    <t>fenpyrazamine</t>
  </si>
  <si>
    <t>Prolectus ; Kamuy</t>
  </si>
  <si>
    <t>fenhexamid</t>
  </si>
  <si>
    <t>Teldor ; Lazulie</t>
  </si>
  <si>
    <t>isofétamid</t>
  </si>
  <si>
    <t>Kryor ; Kenja</t>
  </si>
  <si>
    <t>Cantus</t>
  </si>
  <si>
    <t>Bacillus subtilis</t>
  </si>
  <si>
    <t>Rhapsody</t>
  </si>
  <si>
    <t>hydrogénocarbonate de potassium</t>
  </si>
  <si>
    <t>thymol + eugénol + géraniol</t>
  </si>
  <si>
    <t>Mevalone ; Yatto ; Esseva ; Nirka</t>
  </si>
  <si>
    <t>Amylo-X WG ; Taegro</t>
  </si>
  <si>
    <t>Insecticides</t>
  </si>
  <si>
    <t>deltaméthrine</t>
  </si>
  <si>
    <t>Decis Protech ; Deltastar ; Vivatrine EW</t>
  </si>
  <si>
    <t>lambda-cyhalothrine</t>
  </si>
  <si>
    <t>Karaté Xflow ; Karis 10 CS ; Estamina ; Spark ; Karaté ZEON</t>
  </si>
  <si>
    <t>etofenprox</t>
  </si>
  <si>
    <t>Uppercut</t>
  </si>
  <si>
    <t>spinosad</t>
  </si>
  <si>
    <t>Success 4 ; Musdo 4 ; Fycilia</t>
  </si>
  <si>
    <t>Bacillus thuringiensis subsp. aizawai</t>
  </si>
  <si>
    <t>XenTari</t>
  </si>
  <si>
    <t>Bacillus thuringiensis subsp. kurstaki</t>
  </si>
  <si>
    <t>Rapax AS ; Delfin</t>
  </si>
  <si>
    <t>émamectine benzoate</t>
  </si>
  <si>
    <t>Affirm ; Proclaim ; Verde Emamectin ; Eleskirt</t>
  </si>
  <si>
    <t>Chardonnay</t>
  </si>
  <si>
    <t>Pinot noir</t>
  </si>
  <si>
    <t>Meunier</t>
  </si>
  <si>
    <t>Arbanne</t>
  </si>
  <si>
    <t>Petit Meslier</t>
  </si>
  <si>
    <t>Pinot Blanc</t>
  </si>
  <si>
    <t>Pinot Gris</t>
  </si>
  <si>
    <t>Chardonnay Rose</t>
  </si>
  <si>
    <t>Voltis</t>
  </si>
  <si>
    <t>Cache plant</t>
  </si>
  <si>
    <t>Composition</t>
  </si>
  <si>
    <t>Prix</t>
  </si>
  <si>
    <t>unité</t>
  </si>
  <si>
    <t>L</t>
  </si>
  <si>
    <t>t</t>
  </si>
  <si>
    <t>kg</t>
  </si>
  <si>
    <t>?</t>
  </si>
  <si>
    <t>Amendements organiques</t>
  </si>
  <si>
    <t>MO 62 % ; N 1,4 % ; P2O5 0,3 % ; K2O 1,6 % ; C/N 22,1</t>
  </si>
  <si>
    <t>MO 63 % ; N 2 % ; P2O5 1,9 % ; K2O 1,6 % ; MgO 0,8 % ; C/N 15,7</t>
  </si>
  <si>
    <t>MO 49,7 % ; N 1,8 % ; P2O5 2,1 % ; K2O 1,2 % ; MgO 0,9 % ; C/N 13,8</t>
  </si>
  <si>
    <t>Engrais organiques</t>
  </si>
  <si>
    <t>4-3-2 SK + 1 MgO</t>
  </si>
  <si>
    <t>9;5;0</t>
  </si>
  <si>
    <t>3;10;0</t>
  </si>
  <si>
    <t>3-2-3-3</t>
  </si>
  <si>
    <t>4-2-7-4</t>
  </si>
  <si>
    <t>3-2-3-4</t>
  </si>
  <si>
    <t>4-4-4-2</t>
  </si>
  <si>
    <t>2,8-2,5-3-1</t>
  </si>
  <si>
    <t>5-2-8-4</t>
  </si>
  <si>
    <t>0-4-26</t>
  </si>
  <si>
    <t>3-3-3-3</t>
  </si>
  <si>
    <t>4-3-3-3</t>
  </si>
  <si>
    <t>Engrais organo-minéraux</t>
  </si>
  <si>
    <t>5-4-2 SK + 1 MgO</t>
  </si>
  <si>
    <t>5-3-7 SK + 4 MgO</t>
  </si>
  <si>
    <t>6-3-10 SK + 2 MgO</t>
  </si>
  <si>
    <t>5-3-5 SK + 2 MgO</t>
  </si>
  <si>
    <t>Engrais minéraux</t>
  </si>
  <si>
    <t>MgO 25 % ; SO3 50 %</t>
  </si>
  <si>
    <t>CaO 95 % ; MgO 1,5 %</t>
  </si>
  <si>
    <t>N 12 % ; P2O5 5 % ; K2O 15 % ; SO3 33 %</t>
  </si>
  <si>
    <t>N 20 % ; K2O 2 % ; SO3 50 %</t>
  </si>
  <si>
    <t>K2O 30 % ; CaO 5 % ; MgO 4 % ; SO3 30 %</t>
  </si>
  <si>
    <t>0-10-17 + 3</t>
  </si>
  <si>
    <t>6-4-12 + 4</t>
  </si>
  <si>
    <t>7-14 + 3</t>
  </si>
  <si>
    <t>10;10;10</t>
  </si>
  <si>
    <t>12-0-24</t>
  </si>
  <si>
    <t>20+5</t>
  </si>
  <si>
    <t>6;4;20</t>
  </si>
  <si>
    <t>17,4-0-0</t>
  </si>
  <si>
    <t>30-0-0 + 3,5</t>
  </si>
  <si>
    <t>10-0-1 - 15SK + 6SMgO</t>
  </si>
  <si>
    <t>Chélates de fer</t>
  </si>
  <si>
    <t>Fe EDDHA 6 %</t>
  </si>
  <si>
    <t>Fe 1,30 %</t>
  </si>
  <si>
    <t>Carburant</t>
  </si>
  <si>
    <t>HVO100</t>
  </si>
  <si>
    <t>GNR</t>
  </si>
  <si>
    <t>Prix_GNR</t>
  </si>
  <si>
    <t>Gel</t>
  </si>
  <si>
    <t>Pelets</t>
  </si>
  <si>
    <t>na</t>
  </si>
  <si>
    <t>tonnes</t>
  </si>
  <si>
    <t>Prestation cueillette</t>
  </si>
  <si>
    <t>Fertilisation orga</t>
  </si>
  <si>
    <t>pack 2ha (3l enervin +4 l facinan)</t>
  </si>
  <si>
    <t>Armicarb ; Vitisan; Carbobasic</t>
  </si>
  <si>
    <t>4,69 € kg carbobasic</t>
  </si>
  <si>
    <t>2,87 € l samba</t>
  </si>
  <si>
    <t>20 l</t>
  </si>
  <si>
    <t>200g</t>
  </si>
  <si>
    <t>VITIFEED HUMUS</t>
  </si>
  <si>
    <t>VITIFEED AMENDANT</t>
  </si>
  <si>
    <t>VITIFEED ACTIVATEUR</t>
  </si>
  <si>
    <t>VITIFEED 4-3-2 SK + 1MgO</t>
  </si>
  <si>
    <t>VITIFEED 9-5-0</t>
  </si>
  <si>
    <t>VITIFEED 3-10-0</t>
  </si>
  <si>
    <t>Orga 3</t>
  </si>
  <si>
    <t>Ovinor</t>
  </si>
  <si>
    <t>Ovitonic</t>
  </si>
  <si>
    <t>Quattro</t>
  </si>
  <si>
    <t>Rigel</t>
  </si>
  <si>
    <t>Skor</t>
  </si>
  <si>
    <t>Sweet K+</t>
  </si>
  <si>
    <t>Ultralg</t>
  </si>
  <si>
    <t>YXO 12</t>
  </si>
  <si>
    <t>YXO 13</t>
  </si>
  <si>
    <t>VITIFEED 5-4-2 SK + 1MgO</t>
  </si>
  <si>
    <t>VITIFEED 5-3-7 SK + 4MgO</t>
  </si>
  <si>
    <t>VITIFEED 6-3-10 SK + 2MgO</t>
  </si>
  <si>
    <t>VITIFEED OM 5-3-5 SK + 2MgO</t>
  </si>
  <si>
    <t>Kiesérite granulée</t>
  </si>
  <si>
    <t>Chaux vive</t>
  </si>
  <si>
    <t>FRUCTIFORT</t>
  </si>
  <si>
    <t>N SYNERGIE</t>
  </si>
  <si>
    <t>SK SYNERGIE 30</t>
  </si>
  <si>
    <t>0 10 17 + 3</t>
  </si>
  <si>
    <t>6 4 12 + 4</t>
  </si>
  <si>
    <t>7 14 + 3</t>
  </si>
  <si>
    <t>Ammonitrate 27 %</t>
  </si>
  <si>
    <t>Bio nutrium</t>
  </si>
  <si>
    <t>Calko pk</t>
  </si>
  <si>
    <t>Cyanamide calcique Perlka</t>
  </si>
  <si>
    <t>Esta Kieserit</t>
  </si>
  <si>
    <t>Fertigonia 30</t>
  </si>
  <si>
    <t>Fertigonia L 10-10-10</t>
  </si>
  <si>
    <t>Fertigonia L 12-0-24</t>
  </si>
  <si>
    <t>Fertigonia L 20+5</t>
  </si>
  <si>
    <t>Fertigonia L 6-4-20</t>
  </si>
  <si>
    <t>Granulek</t>
  </si>
  <si>
    <t>GranuPotasse</t>
  </si>
  <si>
    <t>Kalisop+</t>
  </si>
  <si>
    <t>Nitro sulphur</t>
  </si>
  <si>
    <t>Novatec Fluid Fe Max 17,4 - 0 - 0</t>
  </si>
  <si>
    <t>Omega 30 0 0 + 3,5</t>
  </si>
  <si>
    <t>Patentkali</t>
  </si>
  <si>
    <t>Potamag</t>
  </si>
  <si>
    <t>Ultimate N 10 - 0 - 1 - 15SK + 6SMgO</t>
  </si>
  <si>
    <t>VITIFER 6 %</t>
  </si>
  <si>
    <t>SOLFER 6 %</t>
  </si>
  <si>
    <t>VITIFER 1,30 %</t>
  </si>
  <si>
    <t>Statut_scenario</t>
  </si>
  <si>
    <t>SYNTHÈSE ÉCONOMIQUE (SC_2)</t>
  </si>
  <si>
    <t>Coût technique total (€/ha)</t>
  </si>
  <si>
    <t>€/ha</t>
  </si>
  <si>
    <t>h/ha</t>
  </si>
  <si>
    <t>Volume commercialisable</t>
  </si>
  <si>
    <t>Prix raisin (scénario 1)</t>
  </si>
  <si>
    <t>Produit brut (€/ha)</t>
  </si>
  <si>
    <t>Marge brute (€/ha)</t>
  </si>
  <si>
    <t>Coût de revient (€/kg)</t>
  </si>
  <si>
    <t>🔍 CONTRÔLES &amp; AUDIT AUTOMATIQUE DU CLASSEUR</t>
  </si>
  <si>
    <t>Contrôle</t>
  </si>
  <si>
    <t>Résultat</t>
  </si>
  <si>
    <t>Interprétation</t>
  </si>
  <si>
    <t>Erreurs #VALEUR!/#N/A dans OPERATIONS_VIGNE (coûts totaux)</t>
  </si>
  <si>
    <t>0 attendu — sinon opération à corriger</t>
  </si>
  <si>
    <t>Opérations avec coût total = 0 €</t>
  </si>
  <si>
    <t>À vérifier (prestations non chiffrées ?)</t>
  </si>
  <si>
    <t>Intrants renseignés dans les opérations</t>
  </si>
  <si>
    <t>Nb opérations avec intrant</t>
  </si>
  <si>
    <t>Intrants introuvables dans les barèmes (orphelins)</t>
  </si>
  <si>
    <t>0 attendu — sinon code intrant absent de Tableau4</t>
  </si>
  <si>
    <t>Barèmes MO avec coût horaire vide/erreur</t>
  </si>
  <si>
    <t>Prestations à compléter (salaire manquant)</t>
  </si>
  <si>
    <t>Prix intrants non renseignés (« ? » ou vide) dans Tableau4</t>
  </si>
  <si>
    <t>Nb prix à saisir avant usage économique</t>
  </si>
  <si>
    <t>Scénarios AOC sans définition dans SCENARIOS</t>
  </si>
  <si>
    <t>Nb scénarios à peupler (0 € trompeur sinon)</t>
  </si>
  <si>
    <t>Lignes SCENARIOS avec coût = 0 (libellé non rapproché)</t>
  </si>
  <si>
    <t>0 attendu — sinon libellé absent de Tableau1</t>
  </si>
  <si>
    <t>Note : le simulateur DEBIT_CHANTIER n'est pas encore relié aux h_machine_ha des opérations (saisie manuelle).</t>
  </si>
  <si>
    <t>Temps total MO+machine (h/ha)</t>
  </si>
  <si>
    <t>Codes_op non résolus dans SCENARIOS (Tableau6)</t>
  </si>
  <si>
    <t>Libellés SCENARIOS ambigus (doublon dans Tableau1)</t>
  </si>
  <si>
    <t>Vérifier le Code_op de ces lignes (2 connus)</t>
  </si>
  <si>
    <t>MO_PRES_CUEIL</t>
  </si>
  <si>
    <t>Tarif prestataire</t>
  </si>
  <si>
    <t>Estimation marché ~45 €/h — à confirmer (devis)</t>
  </si>
  <si>
    <t>Estimation marché ~40 €/h — à confirmer (devis)</t>
  </si>
  <si>
    <t>Tarif à la tâche 0,53 €/kg — à confirmer (devis)</t>
  </si>
  <si>
    <t>Tarif à la tâche cueillette — à confirmer</t>
  </si>
  <si>
    <t>Puissance_CV</t>
  </si>
  <si>
    <t>Assurance_remisage_€</t>
  </si>
  <si>
    <t>Source_remarques</t>
  </si>
  <si>
    <t>Enjambeur 2 rangs. Prix neuf 120 000–300 000 € (barème Chambres d'agriculture / marché 2025)</t>
  </si>
  <si>
    <t>Chenillard viticole. Estimation cohérente barème viti-arbo</t>
  </si>
  <si>
    <t>Robot désherbeur électrique (autonome, sans GNR). Assurance/maintenance élevée</t>
  </si>
  <si>
    <t>TRA_INTER</t>
  </si>
  <si>
    <t>Tracteur interligne (vigne étroite)</t>
  </si>
  <si>
    <t>Prix neuf 30 000–75 000 € (barème 2025). ~5–6 l/h GNR</t>
  </si>
  <si>
    <t>PUL_VITI</t>
  </si>
  <si>
    <t>Pulvérisateur viticole porté</t>
  </si>
  <si>
    <t>Outil porté (pas de moteur propre). Prix neuf ~7 500–8 000 €</t>
  </si>
  <si>
    <t>ROG_ECIM</t>
  </si>
  <si>
    <t>Rogneuse / écimeuse portée</t>
  </si>
  <si>
    <t>Outil porté. Traction assurée par le tracteur</t>
  </si>
  <si>
    <t>BRO_SARM</t>
  </si>
  <si>
    <t>Broyeur de sarments porté</t>
  </si>
  <si>
    <t>Outil porté. Broyage des bois de taille</t>
  </si>
  <si>
    <t>120 pieds / h</t>
  </si>
  <si>
    <t xml:space="preserve">Cout_presta_ha</t>
  </si>
  <si>
    <t xml:space="preserve">ARR_1_VE_EXP</t>
  </si>
  <si>
    <t xml:space="preserve">BAI_1_VE_EXP</t>
  </si>
  <si>
    <t xml:space="preserve">ENT_1_NA_EXP</t>
  </si>
  <si>
    <t xml:space="preserve">ENT_2_NA_PRE</t>
  </si>
  <si>
    <t xml:space="preserve">PRÉ_1_VE_EXP</t>
  </si>
  <si>
    <t xml:space="preserve">PRÉ_2_VE_EXP</t>
  </si>
  <si>
    <t xml:space="preserve">PRÉ_3_VSL_EXP</t>
  </si>
  <si>
    <t xml:space="preserve">PRÉ_4_VSL_EXP</t>
  </si>
  <si>
    <t xml:space="preserve">TAI_1_VE_EXP</t>
  </si>
  <si>
    <t xml:space="preserve">TAI_2_VE_EXP</t>
  </si>
  <si>
    <t xml:space="preserve">TAI_3_VE_EXP</t>
  </si>
  <si>
    <t xml:space="preserve">TAI_4_VSL_EXP</t>
  </si>
  <si>
    <t xml:space="preserve">TAI_5_VE_EXP</t>
  </si>
  <si>
    <t xml:space="preserve">TAI_6_VE_EXP</t>
  </si>
  <si>
    <t xml:space="preserve">TAI_7_VE_PRE</t>
  </si>
  <si>
    <t xml:space="preserve">TAI_8_VSL_EXP</t>
  </si>
  <si>
    <t xml:space="preserve">TAI_9_VSL_PRE</t>
  </si>
  <si>
    <t xml:space="preserve">LIA_1_VE_EXP</t>
  </si>
  <si>
    <t xml:space="preserve">LIA_2_VSL_EXP</t>
  </si>
  <si>
    <t xml:space="preserve">LIA_3_VE_PRE</t>
  </si>
  <si>
    <t xml:space="preserve">LIA_4_VSL_PRE</t>
  </si>
  <si>
    <t xml:space="preserve">RÉP_1_NA_EXP</t>
  </si>
  <si>
    <t xml:space="preserve">BRO_1_VE_EXP</t>
  </si>
  <si>
    <t xml:space="preserve">BRO_2_VE_PRE</t>
  </si>
  <si>
    <t xml:space="preserve">BRO_3_VSL_EXP</t>
  </si>
  <si>
    <t xml:space="preserve">BRO_4_VSL_PRE</t>
  </si>
  <si>
    <t xml:space="preserve">FER_1_VE_EXP</t>
  </si>
  <si>
    <t xml:space="preserve">FER_2_VE_EXP</t>
  </si>
  <si>
    <t xml:space="preserve">FER_3_VE_EXP</t>
  </si>
  <si>
    <t xml:space="preserve">FER_4_VE_EXP</t>
  </si>
  <si>
    <t xml:space="preserve">FER_5_VE_EXP</t>
  </si>
  <si>
    <t xml:space="preserve">CHÉ_1_VE_EXP</t>
  </si>
  <si>
    <t xml:space="preserve">ENT_1_VE_EXP</t>
  </si>
  <si>
    <t xml:space="preserve">ENT_2_VE_PRE</t>
  </si>
  <si>
    <t xml:space="preserve">ENT_3_VSL_EXP</t>
  </si>
  <si>
    <t xml:space="preserve">ENT_4_VSL_PRE</t>
  </si>
  <si>
    <t xml:space="preserve">ENT_5_VSL_EXP</t>
  </si>
  <si>
    <t xml:space="preserve">ENT_6_VSL_PRE</t>
  </si>
  <si>
    <t xml:space="preserve">ENT_7_VE_EXP</t>
  </si>
  <si>
    <t xml:space="preserve">ENT_8_VE_PRE</t>
  </si>
  <si>
    <t xml:space="preserve">POS_1_VE_EXP</t>
  </si>
  <si>
    <t xml:space="preserve">EBO_1_VE_EXP</t>
  </si>
  <si>
    <t xml:space="preserve">REL_1_VE_EXP</t>
  </si>
  <si>
    <t xml:space="preserve">REL_2_VE_EXP</t>
  </si>
  <si>
    <t xml:space="preserve">PRO_1_NA_PRE</t>
  </si>
  <si>
    <t xml:space="preserve">PRO_2_NA_EXP</t>
  </si>
  <si>
    <t xml:space="preserve">PRO_3_NA_EXP</t>
  </si>
  <si>
    <t xml:space="preserve">PRO_4_NA_EXP</t>
  </si>
  <si>
    <t xml:space="preserve">PRO_5_NA_EXP</t>
  </si>
  <si>
    <t xml:space="preserve">PAL_1_VE_EXP</t>
  </si>
  <si>
    <t xml:space="preserve">ROG_1_VE_EXP</t>
  </si>
  <si>
    <t xml:space="preserve">EFF_1_VE_EXP</t>
  </si>
  <si>
    <t xml:space="preserve">CIS_1_VE_EXP</t>
  </si>
  <si>
    <t xml:space="preserve">ABO_1_VE_EXP</t>
  </si>
  <si>
    <t xml:space="preserve">BAT_1_VE_EXP</t>
  </si>
  <si>
    <t xml:space="preserve">VEN_1_NA_MIX</t>
  </si>
  <si>
    <t xml:space="preserve">VEN_2_NA_EXP</t>
  </si>
  <si>
    <t xml:space="preserve">PRO_1_NA_EXP</t>
  </si>
  <si>
    <t xml:space="preserve">Temps_MO_op</t>
  </si>
  <si>
    <t xml:space="preserve">Temps_machine_op</t>
  </si>
  <si>
    <t xml:space="preserve">VEN_1_NA_MIX</t>
  </si>
  <si>
    <t xml:space="preserve">TAI_6_VE_EXP</t>
  </si>
  <si>
    <t xml:space="preserve">ENT_1_VE_EXP</t>
  </si>
  <si>
    <t xml:space="preserve">PRO_1_NA_PRE</t>
  </si>
  <si>
    <t xml:space="preserve">ARR_1_VE_EXP</t>
  </si>
  <si>
    <t xml:space="preserve">PAL_1_VE_EXP</t>
  </si>
  <si>
    <t xml:space="preserve">ROG_1_VE_EXP</t>
  </si>
  <si>
    <t xml:space="preserve">EBO_1_VE_EXP</t>
  </si>
  <si>
    <t xml:space="preserve">RÉP_1_NA_EXP</t>
  </si>
  <si>
    <t xml:space="preserve">LIA_1_VE_EXP</t>
  </si>
  <si>
    <t xml:space="preserve">REL_1_VE_EXP</t>
  </si>
  <si>
    <t xml:space="preserve">VEN_2_NA_EXP</t>
  </si>
  <si>
    <t xml:space="preserve">PRÉ_1_VE_EXP</t>
  </si>
  <si>
    <t xml:space="preserve">PRO_1_NA_EXP</t>
  </si>
  <si>
    <t xml:space="preserve">BRO_1_VE_EXP</t>
  </si>
  <si>
    <t xml:space="preserve">ENT_1_NA_EXP</t>
  </si>
  <si>
    <t xml:space="preserve">ENT_7_VE_EXP</t>
  </si>
  <si>
    <t xml:space="preserve">BAI_1_VE_EXP</t>
  </si>
  <si>
    <t xml:space="preserve">CHÉ_1_VE_EXP</t>
  </si>
  <si>
    <t xml:space="preserve">ABO_1_VE_EXP</t>
  </si>
  <si>
    <t xml:space="preserve">BAT_1_VE_EXP</t>
  </si>
  <si>
    <t xml:space="preserve">POS_1_VE_EXP</t>
  </si>
  <si>
    <t xml:space="preserve">FER_5_VE_EXP</t>
  </si>
  <si>
    <t xml:space="preserve">SYNTHÈSE — scénario ▸</t>
  </si>
  <si>
    <t xml:space="preserve">SC_2</t>
  </si>
  <si>
    <t xml:space="preserve">Temps main-d'œuvre (h/ha)</t>
  </si>
  <si>
    <t xml:space="preserve">Marge sur coûts opérationnels (€/ha)</t>
  </si>
  <si>
    <t xml:space="preserve">Coût opérationnel (€/kg commercialisable)</t>
  </si>
  <si>
    <t xml:space="preserve">Temps traction (h/ha)</t>
  </si>
  <si>
    <t xml:space="preserve">h/ha</t>
  </si>
  <si>
    <t xml:space="preserve">Lignes à 0 € (code inconnu ou non chiffré)</t>
  </si>
  <si>
    <t xml:space="preserve">Ne pas additionner temps MO et temps traction (le tractoriste est compté dans la MO).</t>
  </si>
  <si>
    <t xml:space="preserve">temps_MO (h/ha)</t>
  </si>
  <si>
    <t xml:space="preserve">Rendement commercialisable 2026 (Comité Champagne, 22/07/2026) ; 9 000 kg/ha en 2025.</t>
  </si>
  <si>
    <t xml:space="preserve">Non utilisé par les formules. Rendement butoir 2026 : 15 500 kg/ha.</t>
  </si>
  <si>
    <t xml:space="preserve">Non utilisé. Plafond de la réserve individuelle (10 000 kg/ha), pas un flux annuel.</t>
  </si>
  <si>
    <t xml:space="preserve">Non utilisé : la synthèse SCENARIOS n'appelle que le prix scénario 1.</t>
  </si>
  <si>
    <t xml:space="preserve">Non utilisé par les formules.</t>
  </si>
  <si>
    <t xml:space="preserve">Utilisé : annuité des matériels (PMT, BAREMES_MECANIQUE).</t>
  </si>
  <si>
    <t xml:space="preserve">Relié à BAREMES_MECANIQUE!H. À mettre à jour en € HT/L (facture).</t>
  </si>
  <si>
    <t xml:space="preserve">€/L</t>
  </si>
  <si>
    <t xml:space="preserve">Onglet « AOC »</t>
  </si>
  <si>
    <t xml:space="preserve">CONTROLES</t>
  </si>
  <si>
    <t xml:space="preserve">Contrôles automatiques de cohérence</t>
  </si>
  <si>
    <t xml:space="preserve">Onglet « CONTROLES »</t>
  </si>
  <si>
    <t xml:space="preserve">📐 Hypothèses parcelle (dimensions réelles de la parcelle ; résultats ramenés à l'hectare)</t>
  </si>
  <si>
    <t xml:space="preserve">Codes_op de SCENARIOS absents de OPERATIONS_VIGNE</t>
  </si>
  <si>
    <t xml:space="preserve">0 attendu — sinon code à corriger dans SCENARIOS</t>
  </si>
  <si>
    <t xml:space="preserve">Code_op en doublon ou vide dans OPERATIONS_VIGNE</t>
  </si>
  <si>
    <t xml:space="preserve">0 attendu — les codes sont désormais saisis (plus générés)</t>
  </si>
  <si>
    <t xml:space="preserve">Codes intrants en doublon (Tableau_intrants)</t>
  </si>
  <si>
    <t xml:space="preserve">Recherche ambiguë : seul le 1er prix trouvé est utilisé</t>
  </si>
  <si>
    <t xml:space="preserve">Note : DEBIT_CHANTIER n'est pas encore relié aux h/ha des opérations (saisie manuelle).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</si>
</sst>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#,##0\ &quot;€&quot;;[Red]\-#,##0\ &quot;€&quot;"/>
    <numFmt numFmtId="44" formatCode="_-* #,##0.00\ &quot;€&quot;_-;\-* #,##0.00\ &quot;€&quot;_-;_-* &quot;-&quot;??\ &quot;€&quot;_-;_-@_-"/>
    <numFmt numFmtId="164" formatCode="0.000"/>
    <numFmt numFmtId="165" formatCode="0.0"/>
    <numFmt numFmtId="166" formatCode="#,##0.00\ &quot;€&quot;"/>
    <numFmt numFmtId="167" formatCode="#,##0.00\ \€"/>
    <numFmt numFmtId="168" formatCode="#,##0.0"/>
    <numFmt numFmtId="169" formatCode="_-* #\ ##0\ \€_-;\-* #\ ##0\ \€_-;_-* &quot;-&quot;\ \€_-"/>
    <numFmt numFmtId="170" formatCode="_-* #\ ##0.00\ \€_-;\-* #\ ##0.00\ \€_-;_-* &quot;-&quot;\ \€_-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Segoe UI"/>
      <family val="2"/>
    </font>
    <font>
      <sz val="10"/>
      <color theme="1"/>
      <name val="Arial Unicode MS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b/>
      <sz val="9"/>
      <color theme="1"/>
      <name val="Segoe UI"/>
      <family val="2"/>
    </font>
    <font>
      <sz val="11"/>
      <color theme="1"/>
      <name val="CIVC Sans Light"/>
    </font>
    <font>
      <b/>
      <sz val="11"/>
      <color theme="1"/>
      <name val="CIVC Sans Light"/>
    </font>
    <font>
      <sz val="11"/>
      <color theme="1"/>
      <name val="Aptos Narrow"/>
      <family val="2"/>
    </font>
    <font>
      <sz val="9.35"/>
      <color theme="1"/>
      <name val="CIVC Sans Light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1"/>
      <color rgb="FF333333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C00000"/>
      <name val="Segoe UI"/>
      <family val="2"/>
    </font>
    <font>
      <b/>
      <sz val="9"/>
      <color theme="1"/>
      <name val="CIVC Sans Light"/>
    </font>
    <font>
      <b/>
      <sz val="8"/>
      <color theme="1"/>
      <name val="CIVC Sans Light"/>
    </font>
    <font>
      <b/>
      <sz val="10"/>
      <color theme="1"/>
      <name val="Segoe UI"/>
      <family val="2"/>
    </font>
    <font>
      <i/>
      <sz val="8"/>
      <color rgb="FFFF0000"/>
      <name val="Segoe UI"/>
      <family val="2"/>
    </font>
    <font>
      <i/>
      <sz val="8"/>
      <name val="Segoe UI"/>
      <family val="2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6EEF7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/>
      <bottom style="medium">
        <color rgb="FFE6E6E6"/>
      </bottom>
      <diagonal/>
    </border>
    <border>
      <left/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 style="medium">
        <color rgb="FFE6E6E6"/>
      </bottom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 style="medium">
        <color rgb="FFE6E6E6"/>
      </left>
      <right/>
      <top/>
      <bottom style="medium">
        <color rgb="FFE6E6E6"/>
      </bottom>
      <diagonal/>
    </border>
    <border>
      <left/>
      <right style="medium">
        <color rgb="FFE6E6E6"/>
      </right>
      <top style="medium">
        <color rgb="FFE6E6E6"/>
      </top>
      <bottom/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/>
      <diagonal/>
    </border>
    <border>
      <left style="medium">
        <color rgb="FFE6E6E6"/>
      </left>
      <right/>
      <top style="medium">
        <color rgb="FFE6E6E6"/>
      </top>
      <bottom/>
      <diagonal/>
    </border>
    <border>
      <left style="medium">
        <color rgb="FFE6E6E6"/>
      </left>
      <right style="medium">
        <color rgb="FFE6E6E6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 style="thin">
        <color rgb="FFD9D9D9"/>
      </left>
      <right style="thin">
        <color rgb="FFD9D9D9"/>
      </right>
      <top style="thin">
        <color rgb="FFA6A6A6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A6A6A6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A6A6A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D9D9D9"/>
      </right>
      <top style="thin">
        <color rgb="FFA6A6A6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A6A6A6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thin">
        <color rgb="FFA6A6A6"/>
      </bottom>
      <diagonal/>
    </border>
    <border>
      <left style="medium">
        <color indexed="64"/>
      </left>
      <right style="thin">
        <color rgb="FFD9D9D9"/>
      </right>
      <top style="thin">
        <color rgb="FFD9D9D9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medium">
        <color indexed="64"/>
      </right>
      <top style="medium">
        <color indexed="64"/>
      </top>
      <bottom style="thin">
        <color rgb="FFD9D9D9"/>
      </bottom>
      <diagonal/>
    </border>
    <border>
      <left style="thin">
        <color rgb="FFD9D9D9"/>
      </left>
      <right style="medium">
        <color indexed="64"/>
      </right>
      <top style="thin">
        <color rgb="FFD9D9D9"/>
      </top>
      <bottom style="medium">
        <color indexed="64"/>
      </bottom>
      <diagonal/>
    </border>
    <border>
      <left/>
      <right style="thin">
        <color rgb="FFD9D9D9"/>
      </right>
      <top style="medium">
        <color indexed="64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AA7B2"/>
      </left>
      <right style="thin">
        <color rgb="FF9AA7B2"/>
      </right>
      <top style="thin">
        <color rgb="FF9AA7B2"/>
      </top>
      <bottom style="thin">
        <color rgb="FF9AA7B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 style="thin">
        <color rgb="FFC00000"/>
      </left>
      <right style="thin">
        <color rgb="FFC00000"/>
      </right>
      <top style="thin">
        <color rgb="FFC00000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2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5" fillId="0" borderId="1" xfId="0" applyFont="1" applyBorder="1" applyAlignment="1">
      <alignment vertical="center" wrapText="1"/>
    </xf>
    <xf numFmtId="3" fontId="5" fillId="0" borderId="1" xfId="0" applyNumberFormat="1" applyFont="1" applyBorder="1" applyAlignment="1">
      <alignment vertical="center" wrapText="1"/>
    </xf>
    <xf numFmtId="9" fontId="5" fillId="0" borderId="1" xfId="0" applyNumberFormat="1" applyFont="1" applyBorder="1" applyAlignment="1">
      <alignment vertical="center" wrapText="1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2" xfId="0" applyFont="1" applyBorder="1" applyAlignment="1">
      <alignment vertical="center"/>
    </xf>
    <xf numFmtId="0" fontId="0" fillId="3" borderId="2" xfId="0" applyFill="1" applyBorder="1"/>
    <xf numFmtId="9" fontId="0" fillId="3" borderId="2" xfId="1" applyFont="1" applyFill="1" applyBorder="1"/>
    <xf numFmtId="0" fontId="0" fillId="3" borderId="2" xfId="1" applyNumberFormat="1" applyFont="1" applyFill="1" applyBorder="1"/>
    <xf numFmtId="0" fontId="7" fillId="0" borderId="0" xfId="0" applyFont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9" fontId="5" fillId="0" borderId="9" xfId="0" applyNumberFormat="1" applyFont="1" applyBorder="1" applyAlignment="1">
      <alignment vertical="center" wrapText="1"/>
    </xf>
    <xf numFmtId="0" fontId="5" fillId="0" borderId="10" xfId="0" applyFont="1" applyBorder="1" applyAlignment="1">
      <alignment vertical="center" wrapText="1"/>
    </xf>
    <xf numFmtId="3" fontId="5" fillId="0" borderId="9" xfId="0" applyNumberFormat="1" applyFont="1" applyBorder="1" applyAlignment="1">
      <alignment vertical="center" wrapText="1"/>
    </xf>
    <xf numFmtId="0" fontId="7" fillId="0" borderId="2" xfId="0" applyFont="1" applyBorder="1" applyAlignment="1">
      <alignment horizontal="center" vertical="center"/>
    </xf>
    <xf numFmtId="0" fontId="5" fillId="3" borderId="0" xfId="0" applyFont="1" applyFill="1" applyAlignment="1">
      <alignment vertical="center" wrapText="1"/>
    </xf>
    <xf numFmtId="0" fontId="4" fillId="4" borderId="11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 wrapText="1"/>
    </xf>
    <xf numFmtId="0" fontId="0" fillId="0" borderId="12" xfId="0" applyBorder="1"/>
    <xf numFmtId="0" fontId="5" fillId="0" borderId="12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4" fillId="5" borderId="11" xfId="0" applyFont="1" applyFill="1" applyBorder="1" applyAlignment="1">
      <alignment horizontal="center" vertical="center" wrapText="1"/>
    </xf>
    <xf numFmtId="0" fontId="0" fillId="0" borderId="15" xfId="0" applyBorder="1"/>
    <xf numFmtId="0" fontId="5" fillId="0" borderId="15" xfId="0" applyFont="1" applyBorder="1" applyAlignment="1">
      <alignment vertical="center" wrapText="1"/>
    </xf>
    <xf numFmtId="0" fontId="0" fillId="0" borderId="13" xfId="0" applyBorder="1"/>
    <xf numFmtId="0" fontId="4" fillId="7" borderId="11" xfId="0" applyFont="1" applyFill="1" applyBorder="1" applyAlignment="1">
      <alignment horizontal="center" vertical="center" wrapText="1"/>
    </xf>
    <xf numFmtId="44" fontId="0" fillId="0" borderId="14" xfId="2" applyFont="1" applyBorder="1"/>
    <xf numFmtId="44" fontId="5" fillId="0" borderId="14" xfId="2" applyFont="1" applyBorder="1" applyAlignment="1">
      <alignment vertical="center" wrapText="1"/>
    </xf>
    <xf numFmtId="9" fontId="5" fillId="0" borderId="9" xfId="0" applyNumberFormat="1" applyFont="1" applyBorder="1" applyAlignment="1">
      <alignment horizontal="right" vertical="center" wrapText="1"/>
    </xf>
    <xf numFmtId="44" fontId="0" fillId="0" borderId="0" xfId="2" applyFont="1"/>
    <xf numFmtId="166" fontId="0" fillId="0" borderId="14" xfId="2" applyNumberFormat="1" applyFont="1" applyBorder="1"/>
    <xf numFmtId="167" fontId="0" fillId="0" borderId="14" xfId="2" applyNumberFormat="1" applyFont="1" applyBorder="1"/>
    <xf numFmtId="167" fontId="11" fillId="0" borderId="14" xfId="2" applyNumberFormat="1" applyFont="1" applyBorder="1" applyAlignment="1">
      <alignment horizontal="left"/>
    </xf>
    <xf numFmtId="2" fontId="14" fillId="9" borderId="17" xfId="0" applyNumberFormat="1" applyFont="1" applyFill="1" applyBorder="1"/>
    <xf numFmtId="1" fontId="14" fillId="0" borderId="18" xfId="0" applyNumberFormat="1" applyFont="1" applyBorder="1"/>
    <xf numFmtId="2" fontId="14" fillId="0" borderId="17" xfId="0" applyNumberFormat="1" applyFont="1" applyBorder="1"/>
    <xf numFmtId="164" fontId="14" fillId="0" borderId="19" xfId="0" applyNumberFormat="1" applyFont="1" applyBorder="1"/>
    <xf numFmtId="0" fontId="14" fillId="0" borderId="16" xfId="0" applyFont="1" applyBorder="1"/>
    <xf numFmtId="164" fontId="14" fillId="0" borderId="17" xfId="0" applyNumberFormat="1" applyFont="1" applyBorder="1"/>
    <xf numFmtId="0" fontId="13" fillId="11" borderId="16" xfId="0" applyFont="1" applyFill="1" applyBorder="1"/>
    <xf numFmtId="0" fontId="0" fillId="0" borderId="23" xfId="0" applyBorder="1"/>
    <xf numFmtId="0" fontId="13" fillId="11" borderId="25" xfId="0" applyFont="1" applyFill="1" applyBorder="1"/>
    <xf numFmtId="0" fontId="14" fillId="0" borderId="0" xfId="0" applyFont="1"/>
    <xf numFmtId="0" fontId="14" fillId="0" borderId="27" xfId="0" applyFont="1" applyBorder="1"/>
    <xf numFmtId="165" fontId="14" fillId="9" borderId="28" xfId="0" applyNumberFormat="1" applyFont="1" applyFill="1" applyBorder="1"/>
    <xf numFmtId="1" fontId="14" fillId="9" borderId="28" xfId="0" applyNumberFormat="1" applyFont="1" applyFill="1" applyBorder="1"/>
    <xf numFmtId="1" fontId="14" fillId="0" borderId="28" xfId="0" applyNumberFormat="1" applyFont="1" applyBorder="1"/>
    <xf numFmtId="2" fontId="14" fillId="0" borderId="28" xfId="0" applyNumberFormat="1" applyFont="1" applyBorder="1"/>
    <xf numFmtId="0" fontId="14" fillId="0" borderId="29" xfId="0" applyFont="1" applyBorder="1"/>
    <xf numFmtId="0" fontId="14" fillId="0" borderId="23" xfId="0" applyFont="1" applyBorder="1"/>
    <xf numFmtId="0" fontId="14" fillId="0" borderId="25" xfId="0" applyFont="1" applyBorder="1"/>
    <xf numFmtId="1" fontId="14" fillId="0" borderId="27" xfId="0" applyNumberFormat="1" applyFont="1" applyBorder="1"/>
    <xf numFmtId="1" fontId="14" fillId="0" borderId="30" xfId="0" applyNumberFormat="1" applyFont="1" applyBorder="1"/>
    <xf numFmtId="164" fontId="14" fillId="0" borderId="31" xfId="0" applyNumberFormat="1" applyFont="1" applyBorder="1"/>
    <xf numFmtId="0" fontId="13" fillId="8" borderId="33" xfId="0" applyFont="1" applyFill="1" applyBorder="1"/>
    <xf numFmtId="0" fontId="13" fillId="8" borderId="35" xfId="0" applyFont="1" applyFill="1" applyBorder="1"/>
    <xf numFmtId="0" fontId="14" fillId="0" borderId="36" xfId="0" applyFont="1" applyBorder="1"/>
    <xf numFmtId="0" fontId="13" fillId="10" borderId="20" xfId="0" applyFont="1" applyFill="1" applyBorder="1"/>
    <xf numFmtId="0" fontId="13" fillId="10" borderId="22" xfId="0" applyFont="1" applyFill="1" applyBorder="1"/>
    <xf numFmtId="1" fontId="14" fillId="9" borderId="24" xfId="0" applyNumberFormat="1" applyFont="1" applyFill="1" applyBorder="1"/>
    <xf numFmtId="1" fontId="14" fillId="0" borderId="24" xfId="0" applyNumberFormat="1" applyFont="1" applyBorder="1"/>
    <xf numFmtId="2" fontId="14" fillId="0" borderId="24" xfId="0" applyNumberFormat="1" applyFont="1" applyBorder="1"/>
    <xf numFmtId="0" fontId="14" fillId="0" borderId="20" xfId="0" applyFont="1" applyBorder="1"/>
    <xf numFmtId="0" fontId="14" fillId="0" borderId="21" xfId="0" applyFont="1" applyBorder="1"/>
    <xf numFmtId="0" fontId="14" fillId="0" borderId="22" xfId="0" applyFont="1" applyBorder="1"/>
    <xf numFmtId="0" fontId="14" fillId="0" borderId="26" xfId="0" applyFont="1" applyBorder="1"/>
    <xf numFmtId="2" fontId="14" fillId="0" borderId="34" xfId="0" applyNumberFormat="1" applyFont="1" applyBorder="1"/>
    <xf numFmtId="164" fontId="16" fillId="0" borderId="24" xfId="0" applyNumberFormat="1" applyFont="1" applyBorder="1" applyAlignment="1">
      <alignment horizontal="left"/>
    </xf>
    <xf numFmtId="164" fontId="16" fillId="0" borderId="32" xfId="0" applyNumberFormat="1" applyFont="1" applyBorder="1" applyAlignment="1">
      <alignment horizontal="left"/>
    </xf>
    <xf numFmtId="164" fontId="16" fillId="0" borderId="23" xfId="0" applyNumberFormat="1" applyFont="1" applyBorder="1" applyAlignment="1">
      <alignment horizontal="right"/>
    </xf>
    <xf numFmtId="164" fontId="16" fillId="0" borderId="37" xfId="0" applyNumberFormat="1" applyFont="1" applyBorder="1" applyAlignment="1">
      <alignment horizontal="right"/>
    </xf>
    <xf numFmtId="0" fontId="16" fillId="0" borderId="27" xfId="0" applyFont="1" applyBorder="1" applyAlignment="1">
      <alignment horizontal="right"/>
    </xf>
    <xf numFmtId="0" fontId="16" fillId="0" borderId="30" xfId="0" applyFont="1" applyBorder="1" applyAlignment="1">
      <alignment horizontal="right"/>
    </xf>
    <xf numFmtId="164" fontId="16" fillId="0" borderId="28" xfId="0" applyNumberFormat="1" applyFont="1" applyBorder="1" applyAlignment="1">
      <alignment horizontal="left"/>
    </xf>
    <xf numFmtId="164" fontId="16" fillId="0" borderId="34" xfId="0" applyNumberFormat="1" applyFont="1" applyBorder="1" applyAlignment="1">
      <alignment horizontal="left"/>
    </xf>
    <xf numFmtId="9" fontId="14" fillId="9" borderId="28" xfId="1" applyFont="1" applyFill="1" applyBorder="1"/>
    <xf numFmtId="0" fontId="12" fillId="12" borderId="38" xfId="0" applyFont="1" applyFill="1" applyBorder="1" applyAlignment="1">
      <alignment horizontal="center"/>
    </xf>
    <xf numFmtId="0" fontId="0" fillId="0" borderId="38" xfId="0" applyBorder="1"/>
    <xf numFmtId="0" fontId="17" fillId="13" borderId="0" xfId="0" applyFont="1" applyFill="1" applyAlignment="1">
      <alignment vertical="center"/>
    </xf>
    <xf numFmtId="0" fontId="0" fillId="13" borderId="0" xfId="0" applyFill="1"/>
    <xf numFmtId="0" fontId="15" fillId="0" borderId="23" xfId="0" applyFont="1" applyBorder="1"/>
    <xf numFmtId="0" fontId="15" fillId="0" borderId="0" xfId="0" applyFont="1"/>
    <xf numFmtId="44" fontId="0" fillId="13" borderId="0" xfId="2" applyFont="1" applyFill="1"/>
    <xf numFmtId="0" fontId="5" fillId="0" borderId="12" xfId="0" applyFont="1" applyBorder="1" applyAlignment="1">
      <alignment vertical="center"/>
    </xf>
    <xf numFmtId="44" fontId="5" fillId="0" borderId="1" xfId="2" applyFont="1" applyBorder="1" applyAlignment="1">
      <alignment vertical="center" wrapText="1"/>
    </xf>
    <xf numFmtId="44" fontId="5" fillId="0" borderId="9" xfId="2" applyFont="1" applyBorder="1" applyAlignment="1">
      <alignment vertical="center" wrapText="1"/>
    </xf>
    <xf numFmtId="0" fontId="0" fillId="0" borderId="39" xfId="0" applyBorder="1"/>
    <xf numFmtId="0" fontId="5" fillId="0" borderId="39" xfId="0" applyFont="1" applyBorder="1" applyAlignment="1">
      <alignment vertical="center" wrapText="1"/>
    </xf>
    <xf numFmtId="0" fontId="0" fillId="0" borderId="40" xfId="0" applyBorder="1"/>
    <xf numFmtId="0" fontId="0" fillId="0" borderId="41" xfId="0" applyBorder="1"/>
    <xf numFmtId="44" fontId="0" fillId="0" borderId="42" xfId="2" applyFont="1" applyBorder="1"/>
    <xf numFmtId="167" fontId="0" fillId="0" borderId="42" xfId="2" applyNumberFormat="1" applyFont="1" applyBorder="1"/>
    <xf numFmtId="0" fontId="0" fillId="0" borderId="43" xfId="0" applyBorder="1"/>
    <xf numFmtId="166" fontId="0" fillId="0" borderId="42" xfId="2" applyNumberFormat="1" applyFont="1" applyBorder="1"/>
    <xf numFmtId="167" fontId="11" fillId="0" borderId="42" xfId="2" applyNumberFormat="1" applyFont="1" applyBorder="1" applyAlignment="1">
      <alignment horizontal="left"/>
    </xf>
    <xf numFmtId="0" fontId="0" fillId="3" borderId="0" xfId="0" applyFill="1" applyAlignment="1">
      <alignment horizontal="center"/>
    </xf>
    <xf numFmtId="0" fontId="0" fillId="0" borderId="15" xfId="0" quotePrefix="1" applyBorder="1"/>
    <xf numFmtId="0" fontId="5" fillId="0" borderId="45" xfId="0" applyFont="1" applyBorder="1" applyAlignment="1">
      <alignment vertical="center" wrapText="1"/>
    </xf>
    <xf numFmtId="0" fontId="0" fillId="0" borderId="45" xfId="0" applyBorder="1"/>
    <xf numFmtId="0" fontId="5" fillId="0" borderId="44" xfId="0" applyFont="1" applyBorder="1" applyAlignment="1">
      <alignment vertical="center" wrapText="1"/>
    </xf>
    <xf numFmtId="0" fontId="8" fillId="0" borderId="46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9" fontId="0" fillId="3" borderId="2" xfId="0" applyNumberFormat="1" applyFill="1" applyBorder="1"/>
    <xf numFmtId="2" fontId="0" fillId="3" borderId="2" xfId="0" applyNumberFormat="1" applyFill="1" applyBorder="1"/>
    <xf numFmtId="0" fontId="20" fillId="0" borderId="0" xfId="0" applyFont="1"/>
    <xf numFmtId="0" fontId="21" fillId="0" borderId="0" xfId="0" applyFont="1" applyAlignment="1">
      <alignment vertical="center"/>
    </xf>
    <xf numFmtId="0" fontId="8" fillId="0" borderId="47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48" xfId="0" applyFont="1" applyBorder="1" applyAlignment="1">
      <alignment horizontal="left" vertical="center"/>
    </xf>
    <xf numFmtId="44" fontId="0" fillId="3" borderId="2" xfId="2" applyFont="1" applyFill="1" applyBorder="1"/>
    <xf numFmtId="1" fontId="0" fillId="3" borderId="2" xfId="2" applyNumberFormat="1" applyFont="1" applyFill="1" applyBorder="1"/>
    <xf numFmtId="44" fontId="0" fillId="3" borderId="2" xfId="0" applyNumberFormat="1" applyFill="1" applyBorder="1"/>
    <xf numFmtId="1" fontId="0" fillId="3" borderId="2" xfId="0" applyNumberFormat="1" applyFill="1" applyBorder="1"/>
    <xf numFmtId="0" fontId="0" fillId="0" borderId="0" xfId="0" applyAlignment="1">
      <alignment horizontal="left"/>
    </xf>
    <xf numFmtId="0" fontId="12" fillId="0" borderId="0" xfId="0" applyFont="1" applyAlignment="1">
      <alignment horizontal="right"/>
    </xf>
    <xf numFmtId="2" fontId="0" fillId="0" borderId="0" xfId="0" applyNumberFormat="1"/>
    <xf numFmtId="44" fontId="0" fillId="0" borderId="14" xfId="2" applyFont="1" applyFill="1" applyBorder="1"/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0" fillId="0" borderId="0" xfId="2" applyNumberFormat="1" applyFont="1"/>
    <xf numFmtId="44" fontId="25" fillId="0" borderId="0" xfId="2" applyFont="1" applyAlignment="1">
      <alignment horizontal="center" vertical="center"/>
    </xf>
    <xf numFmtId="0" fontId="25" fillId="0" borderId="0" xfId="2" applyNumberFormat="1" applyFont="1" applyAlignment="1">
      <alignment horizontal="center" vertical="center"/>
    </xf>
    <xf numFmtId="6" fontId="0" fillId="3" borderId="0" xfId="2" applyNumberFormat="1" applyFont="1" applyFill="1"/>
    <xf numFmtId="44" fontId="0" fillId="3" borderId="14" xfId="2" applyFont="1" applyFill="1" applyBorder="1"/>
    <xf numFmtId="44" fontId="5" fillId="3" borderId="9" xfId="2" applyFont="1" applyFill="1" applyBorder="1" applyAlignment="1">
      <alignment vertical="center" wrapText="1"/>
    </xf>
    <xf numFmtId="0" fontId="5" fillId="14" borderId="1" xfId="0" applyFont="1" applyFill="1" applyBorder="1" applyAlignment="1">
      <alignment vertical="center" wrapText="1"/>
    </xf>
    <xf numFmtId="44" fontId="26" fillId="0" borderId="0" xfId="2" applyFont="1" applyAlignment="1">
      <alignment horizontal="center" vertical="center"/>
    </xf>
    <xf numFmtId="0" fontId="26" fillId="0" borderId="0" xfId="2" applyNumberFormat="1" applyFont="1" applyAlignment="1">
      <alignment horizontal="center" vertical="center"/>
    </xf>
    <xf numFmtId="1" fontId="0" fillId="3" borderId="48" xfId="0" applyNumberFormat="1" applyFill="1" applyBorder="1"/>
    <xf numFmtId="1" fontId="0" fillId="3" borderId="51" xfId="0" applyNumberFormat="1" applyFill="1" applyBorder="1"/>
    <xf numFmtId="0" fontId="12" fillId="0" borderId="0" xfId="0" applyFont="1"/>
    <xf numFmtId="167" fontId="0" fillId="0" borderId="0" xfId="0" applyNumberFormat="1"/>
    <xf numFmtId="3" fontId="0" fillId="0" borderId="0" xfId="0" applyNumberFormat="1"/>
    <xf numFmtId="168" fontId="0" fillId="0" borderId="0" xfId="0" applyNumberFormat="1"/>
    <xf numFmtId="0" fontId="27" fillId="0" borderId="0" xfId="0" applyFont="1"/>
    <xf numFmtId="0" fontId="12" fillId="8" borderId="0" xfId="0" applyFont="1" applyFill="1"/>
    <xf numFmtId="0" fontId="12" fillId="0" borderId="0" xfId="0" applyFont="1" applyAlignment="1">
      <alignment horizontal="center"/>
    </xf>
    <xf numFmtId="44" fontId="28" fillId="13" borderId="0" xfId="2" applyFont="1" applyFill="1"/>
    <xf numFmtId="0" fontId="29" fillId="2" borderId="3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vertical="center" wrapText="1"/>
    </xf>
    <xf numFmtId="0" fontId="28" fillId="0" borderId="0" xfId="0" applyFont="1"/>
    <xf numFmtId="3" fontId="5" fillId="0" borderId="5" xfId="0" applyNumberFormat="1" applyFont="1" applyBorder="1" applyAlignment="1">
      <alignment vertical="center" wrapText="1"/>
    </xf>
    <xf numFmtId="3" fontId="5" fillId="0" borderId="10" xfId="0" applyNumberFormat="1" applyFont="1" applyBorder="1" applyAlignment="1">
      <alignment vertical="center" wrapText="1"/>
    </xf>
    <xf numFmtId="3" fontId="5" fillId="0" borderId="0" xfId="0" applyNumberFormat="1" applyFont="1" applyAlignment="1">
      <alignment vertical="center" wrapText="1"/>
    </xf>
    <xf numFmtId="1" fontId="5" fillId="0" borderId="5" xfId="0" applyNumberFormat="1" applyFont="1" applyBorder="1" applyAlignment="1">
      <alignment vertical="center" wrapText="1"/>
    </xf>
    <xf numFmtId="1" fontId="5" fillId="0" borderId="10" xfId="0" applyNumberFormat="1" applyFont="1" applyBorder="1" applyAlignment="1">
      <alignment vertical="center" wrapText="1"/>
    </xf>
    <xf numFmtId="169" fontId="5" fillId="0" borderId="5" xfId="0" applyNumberFormat="1" applyFont="1" applyBorder="1" applyAlignment="1">
      <alignment vertical="center" wrapText="1"/>
    </xf>
    <xf numFmtId="169" fontId="5" fillId="0" borderId="10" xfId="0" applyNumberFormat="1" applyFont="1" applyBorder="1" applyAlignment="1">
      <alignment vertical="center" wrapText="1"/>
    </xf>
    <xf numFmtId="170" fontId="5" fillId="0" borderId="5" xfId="2" applyNumberFormat="1" applyFont="1" applyBorder="1" applyAlignment="1">
      <alignment vertical="center" wrapText="1"/>
    </xf>
    <xf numFmtId="170" fontId="5" fillId="0" borderId="10" xfId="2" applyNumberFormat="1" applyFont="1" applyBorder="1" applyAlignment="1">
      <alignment vertical="center" wrapText="1"/>
    </xf>
    <xf numFmtId="0" fontId="18" fillId="0" borderId="0" xfId="0" applyFont="1"/>
  </cellXfs>
  <cellStyles count="3">
    <cellStyle name="Monétaire" xfId="2" builtinId="4"/>
    <cellStyle name="Normal" xfId="0" builtinId="0"/>
    <cellStyle name="Pourcentage" xfId="1" builtinId="5"/>
  </cellStyles>
  <dxfs count="94">
    <dxf>
      <numFmt numFmtId="0" formatCode="General"/>
    </dxf>
    <dxf>
      <numFmt numFmtId="0" formatCode="General"/>
    </dxf>
    <dxf>
      <border outline="0">
        <top style="medium">
          <color rgb="FFE6E6E6"/>
        </top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3" formatCode="#,##0"/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3" formatCode="0%"/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medium">
          <color rgb="FFE6E6E6"/>
        </left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color rgb="FF9C5700"/>
      </font>
      <fill>
        <patternFill patternType="solid">
          <fgColor indexed="64"/>
          <bgColor rgb="FFFFE699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</font>
      <numFmt numFmtId="167" formatCode="#,##0.00\ \€"/>
      <alignment horizontal="left" vertical="bottom" textRotation="0" wrapText="0" indent="0" justifyLastLine="0" shrinkToFit="0" readingOrder="0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numFmt numFmtId="166" formatCode="#,##0.00\ &quot;€&quot;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7" formatCode="#,##0.00\ \€"/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  <border diagonalUp="0" diagonalDown="0">
        <left style="thin">
          <color theme="7"/>
        </left>
        <right/>
        <top style="thin">
          <color theme="7"/>
        </top>
        <bottom style="thin">
          <color theme="7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 style="thin">
          <color rgb="FFC00000"/>
        </vertical>
        <horizontal style="thin">
          <color rgb="FFC00000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theme="7"/>
        </left>
        <right/>
        <top style="thin">
          <color theme="7"/>
        </top>
        <bottom style="thin">
          <color theme="7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 outline="0">
        <top style="medium">
          <color rgb="FFE6E6E6"/>
        </top>
      </border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Segoe UI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/>
        <top style="medium">
          <color rgb="FFE6E6E6"/>
        </top>
        <bottom style="medium">
          <color rgb="FFE6E6E6"/>
        </bottom>
      </border>
    </dxf>
    <dxf>
      <border outline="0">
        <left style="medium">
          <color rgb="FFE6E6E6"/>
        </left>
        <top style="medium">
          <color rgb="FFE6E6E6"/>
        </top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* #,##0.00\ &quot;€&quot;_-;\-* #,##0.00\ &quot;€&quot;_-;_-* &quot;-&quot;??\ &quot;€&quot;_-;_-@_-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3" formatCode="0%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IVC Sans Light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IVC Sans Light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IVC Sans Light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IVC Sans Light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IVC Sans Light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8CBAD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8CBAD"/>
        </patternFill>
      </fill>
    </dxf>
    <dxf>
      <font>
        <color rgb="FF9C0006"/>
      </font>
      <fill>
        <patternFill patternType="solid">
          <fgColor indexed="64"/>
          <bgColor rgb="FFF8CBAD"/>
        </patternFill>
      </fill>
    </dxf>
    <dxf>
      <font>
        <color rgb="FF9C0006"/>
      </font>
      <fill>
        <patternFill patternType="solid">
          <fgColor indexed="64"/>
          <bgColor rgb="FFF8CBA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Débit (ha/h) selon la vitesse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DEBIT_CHANTIER!$A$34</c:f>
              <c:strCache>
                <c:ptCount val="1"/>
                <c:pt idx="0">
                  <c:v>Vitesse (km/h)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DEBIT_CHANTIER!$A$35:$A$41</c:f>
              <c:numCache>
                <c:formatCode>0</c:formatCode>
                <c:ptCount val="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C5-4456-A392-F0ADF645F8CB}"/>
            </c:ext>
          </c:extLst>
        </c:ser>
        <c:ser>
          <c:idx val="1"/>
          <c:order val="1"/>
          <c:tx>
            <c:strRef>
              <c:f>DEBIT_CHANTIER!$B$34</c:f>
              <c:strCache>
                <c:ptCount val="1"/>
                <c:pt idx="0">
                  <c:v>Débit (ha/h)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DEBIT_CHANTIER!$B$35:$B$41</c:f>
              <c:numCache>
                <c:formatCode>0.000</c:formatCode>
                <c:ptCount val="7"/>
                <c:pt idx="0">
                  <c:v>0.22857142857142854</c:v>
                </c:pt>
                <c:pt idx="1">
                  <c:v>0.27317073170731704</c:v>
                </c:pt>
                <c:pt idx="2">
                  <c:v>0.30270270270270266</c:v>
                </c:pt>
                <c:pt idx="3">
                  <c:v>0.32369942196531787</c:v>
                </c:pt>
                <c:pt idx="4">
                  <c:v>0.33939393939393936</c:v>
                </c:pt>
                <c:pt idx="5">
                  <c:v>0.35156950672645731</c:v>
                </c:pt>
                <c:pt idx="6">
                  <c:v>0.36129032258064508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C5-4456-A392-F0ADF645F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4248847"/>
        <c:axId val="1354244527"/>
      </c:barChart>
      <c:catAx>
        <c:axId val="135424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Vitesse (km/h)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4244527"/>
        <c:crosses val="autoZero"/>
        <c:auto val="1"/>
        <c:lblAlgn val="ctr"/>
        <c:lblOffset val="100"/>
        <c:noMultiLvlLbl val="0"/>
      </c:catAx>
      <c:valAx>
        <c:axId val="135424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ha/h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54248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image" Target="../media/image16.svg"/><Relationship Id="rId2" Type="http://schemas.openxmlformats.org/officeDocument/2006/relationships/image" Target="../media/image1.png"/><Relationship Id="rId16" Type="http://schemas.openxmlformats.org/officeDocument/2006/relationships/image" Target="../media/image15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5" Type="http://schemas.openxmlformats.org/officeDocument/2006/relationships/image" Target="../media/image4.svg"/><Relationship Id="rId15" Type="http://schemas.openxmlformats.org/officeDocument/2006/relationships/image" Target="../media/image14.sv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20956</xdr:colOff>
      <xdr:row>0</xdr:row>
      <xdr:rowOff>16737</xdr:rowOff>
    </xdr:from>
    <xdr:to>
      <xdr:col>0</xdr:col>
      <xdr:colOff>706756</xdr:colOff>
      <xdr:row>0</xdr:row>
      <xdr:rowOff>742287</xdr:rowOff>
    </xdr:to>
    <xdr:grpSp>
      <xdr:nvGrpSpPr>
        <xdr:cNvPr id="70" name="Groupe 69">
          <a:extLst>
            <a:ext uri="{FF2B5EF4-FFF2-40B4-BE49-F238E27FC236}">
              <a16:creationId xmlns:a16="http://schemas.microsoft.com/office/drawing/2014/main" id="{6F90D149-D9C0-C25B-CE34-05E94C832A20}"/>
            </a:ext>
          </a:extLst>
        </xdr:cNvPr>
        <xdr:cNvGrpSpPr/>
      </xdr:nvGrpSpPr>
      <xdr:grpSpPr>
        <a:xfrm>
          <a:off x="20956" y="16737"/>
          <a:ext cx="685800" cy="725550"/>
          <a:chOff x="20956" y="16737"/>
          <a:chExt cx="685800" cy="725550"/>
        </a:xfrm>
      </xdr:grpSpPr>
      <xdr:pic macro="[0]!Groupe36_Cliquer">
        <xdr:nvPicPr>
          <xdr:cNvPr id="28" name="Graphique 27" descr="Logement avec un remplissage uni">
            <a:extLst>
              <a:ext uri="{FF2B5EF4-FFF2-40B4-BE49-F238E27FC236}">
                <a16:creationId xmlns:a16="http://schemas.microsoft.com/office/drawing/2014/main" id="{50BBB910-C203-59D0-6138-17934CBCC9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4104" y="16737"/>
            <a:ext cx="444128" cy="494723"/>
          </a:xfrm>
          <a:prstGeom prst="rect">
            <a:avLst/>
          </a:prstGeom>
        </xdr:spPr>
      </xdr:pic>
      <xdr:sp macro="[0]!Groupe36_Cliquer" textlink="">
        <xdr:nvSpPr>
          <xdr:cNvPr id="29" name="ZoneTexte 28">
            <a:extLst>
              <a:ext uri="{FF2B5EF4-FFF2-40B4-BE49-F238E27FC236}">
                <a16:creationId xmlns:a16="http://schemas.microsoft.com/office/drawing/2014/main" id="{C4450C8E-8CC3-FC37-7346-6F51BACAB6BF}"/>
              </a:ext>
            </a:extLst>
          </xdr:cNvPr>
          <xdr:cNvSpPr txBox="1"/>
        </xdr:nvSpPr>
        <xdr:spPr>
          <a:xfrm>
            <a:off x="20956" y="407204"/>
            <a:ext cx="685800" cy="335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ACCUEIL</a:t>
            </a:r>
          </a:p>
        </xdr:txBody>
      </xdr:sp>
    </xdr:grpSp>
    <xdr:clientData/>
  </xdr:twoCellAnchor>
  <xdr:twoCellAnchor>
    <xdr:from>
      <xdr:col>0</xdr:col>
      <xdr:colOff>628649</xdr:colOff>
      <xdr:row>0</xdr:row>
      <xdr:rowOff>24609</xdr:rowOff>
    </xdr:from>
    <xdr:to>
      <xdr:col>1</xdr:col>
      <xdr:colOff>240030</xdr:colOff>
      <xdr:row>0</xdr:row>
      <xdr:rowOff>752707</xdr:rowOff>
    </xdr:to>
    <xdr:grpSp>
      <xdr:nvGrpSpPr>
        <xdr:cNvPr id="38" name="Groupe 37">
          <a:extLst>
            <a:ext uri="{FF2B5EF4-FFF2-40B4-BE49-F238E27FC236}">
              <a16:creationId xmlns:a16="http://schemas.microsoft.com/office/drawing/2014/main" id="{0FC29F1A-DD43-1CB2-E93D-DB97209D75A9}"/>
            </a:ext>
          </a:extLst>
        </xdr:cNvPr>
        <xdr:cNvGrpSpPr/>
      </xdr:nvGrpSpPr>
      <xdr:grpSpPr>
        <a:xfrm>
          <a:off x="628649" y="24609"/>
          <a:ext cx="1028701" cy="728098"/>
          <a:chOff x="3530219" y="4722340"/>
          <a:chExt cx="1105079" cy="803969"/>
        </a:xfrm>
      </xdr:grpSpPr>
      <xdr:pic macro="[0]!Groupe37_Cliquer">
        <xdr:nvPicPr>
          <xdr:cNvPr id="24" name="Graphique 23" descr="Engrenage avec un remplissage uni">
            <a:extLst>
              <a:ext uri="{FF2B5EF4-FFF2-40B4-BE49-F238E27FC236}">
                <a16:creationId xmlns:a16="http://schemas.microsoft.com/office/drawing/2014/main" id="{6D279641-2EE5-C761-17D7-110CFACD44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46209" y="4722340"/>
            <a:ext cx="535617" cy="535948"/>
          </a:xfrm>
          <a:prstGeom prst="rect">
            <a:avLst/>
          </a:prstGeom>
        </xdr:spPr>
      </xdr:pic>
      <xdr:sp macro="[0]!Groupe37_Cliquer" textlink="">
        <xdr:nvSpPr>
          <xdr:cNvPr id="30" name="ZoneTexte 29">
            <a:extLst>
              <a:ext uri="{FF2B5EF4-FFF2-40B4-BE49-F238E27FC236}">
                <a16:creationId xmlns:a16="http://schemas.microsoft.com/office/drawing/2014/main" id="{0A1EBD6F-6AB6-47E5-A594-864C72B46601}"/>
              </a:ext>
            </a:extLst>
          </xdr:cNvPr>
          <xdr:cNvSpPr txBox="1"/>
        </xdr:nvSpPr>
        <xdr:spPr>
          <a:xfrm>
            <a:off x="3530219" y="5164359"/>
            <a:ext cx="1105079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AOC</a:t>
            </a:r>
          </a:p>
        </xdr:txBody>
      </xdr:sp>
    </xdr:grpSp>
    <xdr:clientData/>
  </xdr:twoCellAnchor>
  <xdr:twoCellAnchor>
    <xdr:from>
      <xdr:col>1</xdr:col>
      <xdr:colOff>135255</xdr:colOff>
      <xdr:row>0</xdr:row>
      <xdr:rowOff>15375</xdr:rowOff>
    </xdr:from>
    <xdr:to>
      <xdr:col>1</xdr:col>
      <xdr:colOff>1047222</xdr:colOff>
      <xdr:row>0</xdr:row>
      <xdr:rowOff>754484</xdr:rowOff>
    </xdr:to>
    <xdr:grpSp>
      <xdr:nvGrpSpPr>
        <xdr:cNvPr id="39" name="Groupe 38">
          <a:extLst>
            <a:ext uri="{FF2B5EF4-FFF2-40B4-BE49-F238E27FC236}">
              <a16:creationId xmlns:a16="http://schemas.microsoft.com/office/drawing/2014/main" id="{D9228F06-5948-C9C9-28A1-57EA04CB188F}"/>
            </a:ext>
          </a:extLst>
        </xdr:cNvPr>
        <xdr:cNvGrpSpPr/>
      </xdr:nvGrpSpPr>
      <xdr:grpSpPr>
        <a:xfrm>
          <a:off x="1552575" y="15375"/>
          <a:ext cx="911967" cy="739109"/>
          <a:chOff x="4474845" y="4713105"/>
          <a:chExt cx="982980" cy="799012"/>
        </a:xfrm>
      </xdr:grpSpPr>
      <xdr:pic macro="[0]!Groupe38_Cliquer">
        <xdr:nvPicPr>
          <xdr:cNvPr id="22" name="Graphique 21" descr="Clap avec un remplissage uni">
            <a:extLst>
              <a:ext uri="{FF2B5EF4-FFF2-40B4-BE49-F238E27FC236}">
                <a16:creationId xmlns:a16="http://schemas.microsoft.com/office/drawing/2014/main" id="{99FD072C-7FD9-6C2F-6986-A8BC528949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678709" y="4713105"/>
            <a:ext cx="531905" cy="542989"/>
          </a:xfrm>
          <a:prstGeom prst="rect">
            <a:avLst/>
          </a:prstGeom>
        </xdr:spPr>
      </xdr:pic>
      <xdr:sp macro="[0]!Groupe38_Cliquer" textlink="">
        <xdr:nvSpPr>
          <xdr:cNvPr id="31" name="ZoneTexte 30">
            <a:extLst>
              <a:ext uri="{FF2B5EF4-FFF2-40B4-BE49-F238E27FC236}">
                <a16:creationId xmlns:a16="http://schemas.microsoft.com/office/drawing/2014/main" id="{B5A4A886-9B0A-4D05-A89C-4D210794FC5C}"/>
              </a:ext>
            </a:extLst>
          </xdr:cNvPr>
          <xdr:cNvSpPr txBox="1"/>
        </xdr:nvSpPr>
        <xdr:spPr>
          <a:xfrm>
            <a:off x="4474845" y="5150167"/>
            <a:ext cx="9829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SCENARIOS</a:t>
            </a:r>
          </a:p>
        </xdr:txBody>
      </xdr:sp>
    </xdr:grpSp>
    <xdr:clientData/>
  </xdr:twoCellAnchor>
  <xdr:twoCellAnchor>
    <xdr:from>
      <xdr:col>1</xdr:col>
      <xdr:colOff>939165</xdr:colOff>
      <xdr:row>0</xdr:row>
      <xdr:rowOff>2443</xdr:rowOff>
    </xdr:from>
    <xdr:to>
      <xdr:col>1</xdr:col>
      <xdr:colOff>1924050</xdr:colOff>
      <xdr:row>0</xdr:row>
      <xdr:rowOff>751601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03E19A1-9B5C-3C1D-3E03-A8A179EA018D}"/>
            </a:ext>
          </a:extLst>
        </xdr:cNvPr>
        <xdr:cNvGrpSpPr/>
      </xdr:nvGrpSpPr>
      <xdr:grpSpPr>
        <a:xfrm>
          <a:off x="2356485" y="2443"/>
          <a:ext cx="984885" cy="749158"/>
          <a:chOff x="5246768" y="4711603"/>
          <a:chExt cx="1069956" cy="810823"/>
        </a:xfrm>
      </xdr:grpSpPr>
      <xdr:pic macro="[0]!Groupe39_Cliquer">
        <xdr:nvPicPr>
          <xdr:cNvPr id="26" name="Graphique 25" descr="Icône de menu d'hamburger avec un remplissage uni">
            <a:extLst>
              <a:ext uri="{FF2B5EF4-FFF2-40B4-BE49-F238E27FC236}">
                <a16:creationId xmlns:a16="http://schemas.microsoft.com/office/drawing/2014/main" id="{E7ADBE3D-26D1-BE8C-AAD5-42DD37B52F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507497" y="4711603"/>
            <a:ext cx="539783" cy="545993"/>
          </a:xfrm>
          <a:prstGeom prst="rect">
            <a:avLst/>
          </a:prstGeom>
        </xdr:spPr>
      </xdr:pic>
      <xdr:sp macro="[0]!Groupe39_Cliquer" textlink="">
        <xdr:nvSpPr>
          <xdr:cNvPr id="32" name="ZoneTexte 31">
            <a:extLst>
              <a:ext uri="{FF2B5EF4-FFF2-40B4-BE49-F238E27FC236}">
                <a16:creationId xmlns:a16="http://schemas.microsoft.com/office/drawing/2014/main" id="{5A2540D1-05E4-41BB-A1D2-812CBA1E3677}"/>
              </a:ext>
            </a:extLst>
          </xdr:cNvPr>
          <xdr:cNvSpPr txBox="1"/>
        </xdr:nvSpPr>
        <xdr:spPr>
          <a:xfrm>
            <a:off x="5246768" y="5160475"/>
            <a:ext cx="1069956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OPERATIONS</a:t>
            </a:r>
          </a:p>
        </xdr:txBody>
      </xdr:sp>
    </xdr:grpSp>
    <xdr:clientData/>
  </xdr:twoCellAnchor>
  <xdr:twoCellAnchor>
    <xdr:from>
      <xdr:col>1</xdr:col>
      <xdr:colOff>1815466</xdr:colOff>
      <xdr:row>0</xdr:row>
      <xdr:rowOff>2195</xdr:rowOff>
    </xdr:from>
    <xdr:to>
      <xdr:col>1</xdr:col>
      <xdr:colOff>2687142</xdr:colOff>
      <xdr:row>0</xdr:row>
      <xdr:rowOff>753486</xdr:rowOff>
    </xdr:to>
    <xdr:grpSp>
      <xdr:nvGrpSpPr>
        <xdr:cNvPr id="41" name="Groupe 40">
          <a:extLst>
            <a:ext uri="{FF2B5EF4-FFF2-40B4-BE49-F238E27FC236}">
              <a16:creationId xmlns:a16="http://schemas.microsoft.com/office/drawing/2014/main" id="{1FE90BDC-5488-B063-D54D-53F7DB1A22C8}"/>
            </a:ext>
          </a:extLst>
        </xdr:cNvPr>
        <xdr:cNvGrpSpPr/>
      </xdr:nvGrpSpPr>
      <xdr:grpSpPr>
        <a:xfrm>
          <a:off x="3232786" y="2195"/>
          <a:ext cx="871676" cy="751291"/>
          <a:chOff x="6111240" y="4715166"/>
          <a:chExt cx="992505" cy="800761"/>
        </a:xfrm>
      </xdr:grpSpPr>
      <xdr:pic macro="[0]!Groupe40_Cliquer">
        <xdr:nvPicPr>
          <xdr:cNvPr id="20" name="Graphique 19" descr="Homme avec un remplissage uni">
            <a:extLst>
              <a:ext uri="{FF2B5EF4-FFF2-40B4-BE49-F238E27FC236}">
                <a16:creationId xmlns:a16="http://schemas.microsoft.com/office/drawing/2014/main" id="{E537FC47-4B7E-A3E7-CEE2-05687FB41F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340353" y="4715166"/>
            <a:ext cx="533592" cy="538867"/>
          </a:xfrm>
          <a:prstGeom prst="rect">
            <a:avLst/>
          </a:prstGeom>
        </xdr:spPr>
      </xdr:pic>
      <xdr:sp macro="[0]!Groupe40_Cliquer" textlink="">
        <xdr:nvSpPr>
          <xdr:cNvPr id="33" name="ZoneTexte 32">
            <a:extLst>
              <a:ext uri="{FF2B5EF4-FFF2-40B4-BE49-F238E27FC236}">
                <a16:creationId xmlns:a16="http://schemas.microsoft.com/office/drawing/2014/main" id="{98DF62CA-4805-457A-893C-8568B814ADF2}"/>
              </a:ext>
            </a:extLst>
          </xdr:cNvPr>
          <xdr:cNvSpPr txBox="1"/>
        </xdr:nvSpPr>
        <xdr:spPr>
          <a:xfrm>
            <a:off x="6111240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MO</a:t>
            </a:r>
          </a:p>
        </xdr:txBody>
      </xdr:sp>
    </xdr:grpSp>
    <xdr:clientData/>
  </xdr:twoCellAnchor>
  <xdr:twoCellAnchor>
    <xdr:from>
      <xdr:col>1</xdr:col>
      <xdr:colOff>2573655</xdr:colOff>
      <xdr:row>0</xdr:row>
      <xdr:rowOff>2039</xdr:rowOff>
    </xdr:from>
    <xdr:to>
      <xdr:col>2</xdr:col>
      <xdr:colOff>820861</xdr:colOff>
      <xdr:row>0</xdr:row>
      <xdr:rowOff>753473</xdr:rowOff>
    </xdr:to>
    <xdr:grpSp>
      <xdr:nvGrpSpPr>
        <xdr:cNvPr id="42" name="Groupe 41">
          <a:extLst>
            <a:ext uri="{FF2B5EF4-FFF2-40B4-BE49-F238E27FC236}">
              <a16:creationId xmlns:a16="http://schemas.microsoft.com/office/drawing/2014/main" id="{0CB78B0A-148B-425E-9379-43EBB547DD44}"/>
            </a:ext>
          </a:extLst>
        </xdr:cNvPr>
        <xdr:cNvGrpSpPr/>
      </xdr:nvGrpSpPr>
      <xdr:grpSpPr>
        <a:xfrm>
          <a:off x="3990975" y="2039"/>
          <a:ext cx="952306" cy="751434"/>
          <a:chOff x="6905625" y="4716915"/>
          <a:chExt cx="992505" cy="799012"/>
        </a:xfrm>
      </xdr:grpSpPr>
      <xdr:pic macro="[0]!Groupe41_Cliquer">
        <xdr:nvPicPr>
          <xdr:cNvPr id="18" name="Graphique 17" descr="Tracteur avec un remplissage uni">
            <a:extLst>
              <a:ext uri="{FF2B5EF4-FFF2-40B4-BE49-F238E27FC236}">
                <a16:creationId xmlns:a16="http://schemas.microsoft.com/office/drawing/2014/main" id="{01866C39-5D4B-63FD-6587-440C3A7E71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80353" y="4716915"/>
            <a:ext cx="496139" cy="542989"/>
          </a:xfrm>
          <a:prstGeom prst="rect">
            <a:avLst/>
          </a:prstGeom>
        </xdr:spPr>
      </xdr:pic>
      <xdr:sp macro="[0]!Groupe41_Cliquer" textlink="">
        <xdr:nvSpPr>
          <xdr:cNvPr id="34" name="ZoneTexte 33">
            <a:extLst>
              <a:ext uri="{FF2B5EF4-FFF2-40B4-BE49-F238E27FC236}">
                <a16:creationId xmlns:a16="http://schemas.microsoft.com/office/drawing/2014/main" id="{2F42C0C3-E614-423F-9B69-98DD49CE3F49}"/>
              </a:ext>
            </a:extLst>
          </xdr:cNvPr>
          <xdr:cNvSpPr txBox="1"/>
        </xdr:nvSpPr>
        <xdr:spPr>
          <a:xfrm>
            <a:off x="6905625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MATERIEL</a:t>
            </a:r>
          </a:p>
        </xdr:txBody>
      </xdr:sp>
    </xdr:grpSp>
    <xdr:clientData/>
  </xdr:twoCellAnchor>
  <xdr:twoCellAnchor>
    <xdr:from>
      <xdr:col>2</xdr:col>
      <xdr:colOff>744853</xdr:colOff>
      <xdr:row>0</xdr:row>
      <xdr:rowOff>15451</xdr:rowOff>
    </xdr:from>
    <xdr:to>
      <xdr:col>2</xdr:col>
      <xdr:colOff>1627179</xdr:colOff>
      <xdr:row>0</xdr:row>
      <xdr:rowOff>752588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A54EA1A5-C7FD-EB51-630C-AC715AD2FA74}"/>
            </a:ext>
          </a:extLst>
        </xdr:cNvPr>
        <xdr:cNvGrpSpPr/>
      </xdr:nvGrpSpPr>
      <xdr:grpSpPr>
        <a:xfrm>
          <a:off x="4867273" y="15451"/>
          <a:ext cx="882326" cy="737137"/>
          <a:chOff x="7750330" y="4720799"/>
          <a:chExt cx="991952" cy="793369"/>
        </a:xfrm>
      </xdr:grpSpPr>
      <xdr:pic macro="[0]!Groupe42_Cliquer">
        <xdr:nvPicPr>
          <xdr:cNvPr id="16" name="Graphique 15" descr="Potion avec un remplissage uni">
            <a:extLst>
              <a:ext uri="{FF2B5EF4-FFF2-40B4-BE49-F238E27FC236}">
                <a16:creationId xmlns:a16="http://schemas.microsoft.com/office/drawing/2014/main" id="{829AB6C7-2F52-55BC-71E6-B232CC915F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7982900" y="4720799"/>
            <a:ext cx="509890" cy="539030"/>
          </a:xfrm>
          <a:prstGeom prst="rect">
            <a:avLst/>
          </a:prstGeom>
        </xdr:spPr>
      </xdr:pic>
      <xdr:sp macro="[0]!Groupe42_Cliquer" textlink="">
        <xdr:nvSpPr>
          <xdr:cNvPr id="35" name="ZoneTexte 34">
            <a:extLst>
              <a:ext uri="{FF2B5EF4-FFF2-40B4-BE49-F238E27FC236}">
                <a16:creationId xmlns:a16="http://schemas.microsoft.com/office/drawing/2014/main" id="{A16DDFE2-50E6-4716-8D31-9D1CAF552096}"/>
              </a:ext>
            </a:extLst>
          </xdr:cNvPr>
          <xdr:cNvSpPr txBox="1"/>
        </xdr:nvSpPr>
        <xdr:spPr>
          <a:xfrm>
            <a:off x="7750330" y="5153156"/>
            <a:ext cx="991952" cy="3610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INTRANT</a:t>
            </a:r>
          </a:p>
        </xdr:txBody>
      </xdr:sp>
    </xdr:grpSp>
    <xdr:clientData/>
  </xdr:twoCellAnchor>
  <xdr:twoCellAnchor>
    <xdr:from>
      <xdr:col>2</xdr:col>
      <xdr:colOff>1432560</xdr:colOff>
      <xdr:row>0</xdr:row>
      <xdr:rowOff>16055</xdr:rowOff>
    </xdr:from>
    <xdr:to>
      <xdr:col>3</xdr:col>
      <xdr:colOff>504826</xdr:colOff>
      <xdr:row>0</xdr:row>
      <xdr:rowOff>754538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3BCAC88-B4C3-A7DF-E8DD-F61EC6DCCBB2}"/>
            </a:ext>
          </a:extLst>
        </xdr:cNvPr>
        <xdr:cNvGrpSpPr/>
      </xdr:nvGrpSpPr>
      <xdr:grpSpPr>
        <a:xfrm>
          <a:off x="5554980" y="16055"/>
          <a:ext cx="1152526" cy="738483"/>
          <a:chOff x="8469629" y="4725216"/>
          <a:chExt cx="1211580" cy="790711"/>
        </a:xfrm>
      </xdr:grpSpPr>
      <xdr:pic macro="[0]!Groupe43_Cliquer">
        <xdr:nvPicPr>
          <xdr:cNvPr id="14" name="Graphique 13" descr="Calculatrice avec un remplissage uni">
            <a:extLst>
              <a:ext uri="{FF2B5EF4-FFF2-40B4-BE49-F238E27FC236}">
                <a16:creationId xmlns:a16="http://schemas.microsoft.com/office/drawing/2014/main" id="{280AF782-6010-EE18-9521-42B2349A07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8787766" y="4725216"/>
            <a:ext cx="548639" cy="526386"/>
          </a:xfrm>
          <a:prstGeom prst="rect">
            <a:avLst/>
          </a:prstGeom>
        </xdr:spPr>
      </xdr:pic>
      <xdr:sp macro="[0]!Groupe43_Cliquer" textlink="">
        <xdr:nvSpPr>
          <xdr:cNvPr id="36" name="ZoneTexte 35">
            <a:extLst>
              <a:ext uri="{FF2B5EF4-FFF2-40B4-BE49-F238E27FC236}">
                <a16:creationId xmlns:a16="http://schemas.microsoft.com/office/drawing/2014/main" id="{69B3822D-4B3E-4507-A95A-D0267EB6A6B2}"/>
              </a:ext>
            </a:extLst>
          </xdr:cNvPr>
          <xdr:cNvSpPr txBox="1"/>
        </xdr:nvSpPr>
        <xdr:spPr>
          <a:xfrm>
            <a:off x="8469629" y="5153977"/>
            <a:ext cx="12115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DEBIT</a:t>
            </a:r>
            <a:r>
              <a:rPr lang="fr-FR" sz="1100" b="1" baseline="0">
                <a:solidFill>
                  <a:schemeClr val="bg1"/>
                </a:solidFill>
              </a:rPr>
              <a:t> CHANTIER</a:t>
            </a:r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18508</xdr:rowOff>
    </xdr:from>
    <xdr:to>
      <xdr:col>0</xdr:col>
      <xdr:colOff>685800</xdr:colOff>
      <xdr:row>0</xdr:row>
      <xdr:rowOff>744058</xdr:rowOff>
    </xdr:to>
    <xdr:grpSp>
      <xdr:nvGrpSpPr>
        <xdr:cNvPr id="50" name="Groupe 49">
          <a:extLst>
            <a:ext uri="{FF2B5EF4-FFF2-40B4-BE49-F238E27FC236}">
              <a16:creationId xmlns:a16="http://schemas.microsoft.com/office/drawing/2014/main" id="{7F6B96C8-9203-48EC-8479-5D520880D839}"/>
            </a:ext>
          </a:extLst>
        </xdr:cNvPr>
        <xdr:cNvGrpSpPr/>
      </xdr:nvGrpSpPr>
      <xdr:grpSpPr>
        <a:xfrm>
          <a:off x="0" y="18508"/>
          <a:ext cx="685800" cy="725550"/>
          <a:chOff x="20956" y="16737"/>
          <a:chExt cx="685800" cy="725550"/>
        </a:xfrm>
      </xdr:grpSpPr>
      <xdr:pic macro="[0]!Groupe36_Cliquer">
        <xdr:nvPicPr>
          <xdr:cNvPr id="51" name="Graphique 50" descr="Logement avec un remplissage uni">
            <a:extLst>
              <a:ext uri="{FF2B5EF4-FFF2-40B4-BE49-F238E27FC236}">
                <a16:creationId xmlns:a16="http://schemas.microsoft.com/office/drawing/2014/main" id="{5968108F-4BFF-B295-E902-15DEE26C78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4104" y="16737"/>
            <a:ext cx="444128" cy="494723"/>
          </a:xfrm>
          <a:prstGeom prst="rect">
            <a:avLst/>
          </a:prstGeom>
        </xdr:spPr>
      </xdr:pic>
      <xdr:sp macro="[0]!Groupe36_Cliquer" textlink="">
        <xdr:nvSpPr>
          <xdr:cNvPr id="52" name="ZoneTexte 51">
            <a:extLst>
              <a:ext uri="{FF2B5EF4-FFF2-40B4-BE49-F238E27FC236}">
                <a16:creationId xmlns:a16="http://schemas.microsoft.com/office/drawing/2014/main" id="{A332B5BD-B4AD-230B-3F90-908DE3B14ACB}"/>
              </a:ext>
            </a:extLst>
          </xdr:cNvPr>
          <xdr:cNvSpPr txBox="1"/>
        </xdr:nvSpPr>
        <xdr:spPr>
          <a:xfrm>
            <a:off x="20956" y="407204"/>
            <a:ext cx="685800" cy="335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ACCUEIL</a:t>
            </a:r>
          </a:p>
        </xdr:txBody>
      </xdr:sp>
    </xdr:grpSp>
    <xdr:clientData/>
  </xdr:twoCellAnchor>
  <xdr:twoCellAnchor>
    <xdr:from>
      <xdr:col>0</xdr:col>
      <xdr:colOff>615313</xdr:colOff>
      <xdr:row>0</xdr:row>
      <xdr:rowOff>18760</xdr:rowOff>
    </xdr:from>
    <xdr:to>
      <xdr:col>0</xdr:col>
      <xdr:colOff>1645919</xdr:colOff>
      <xdr:row>0</xdr:row>
      <xdr:rowOff>748763</xdr:rowOff>
    </xdr:to>
    <xdr:grpSp>
      <xdr:nvGrpSpPr>
        <xdr:cNvPr id="53" name="Groupe 52">
          <a:extLst>
            <a:ext uri="{FF2B5EF4-FFF2-40B4-BE49-F238E27FC236}">
              <a16:creationId xmlns:a16="http://schemas.microsoft.com/office/drawing/2014/main" id="{D3FAC4FF-478E-4281-8336-C35977F1ABBB}"/>
            </a:ext>
          </a:extLst>
        </xdr:cNvPr>
        <xdr:cNvGrpSpPr/>
      </xdr:nvGrpSpPr>
      <xdr:grpSpPr>
        <a:xfrm>
          <a:off x="615313" y="18760"/>
          <a:ext cx="1030606" cy="730003"/>
          <a:chOff x="3530219" y="4722340"/>
          <a:chExt cx="1105079" cy="803969"/>
        </a:xfrm>
      </xdr:grpSpPr>
      <xdr:pic macro="[0]!Groupe37_Cliquer">
        <xdr:nvPicPr>
          <xdr:cNvPr id="54" name="Graphique 53" descr="Engrenage avec un remplissage uni">
            <a:extLst>
              <a:ext uri="{FF2B5EF4-FFF2-40B4-BE49-F238E27FC236}">
                <a16:creationId xmlns:a16="http://schemas.microsoft.com/office/drawing/2014/main" id="{B44A0B4A-5B0C-793E-DF47-F50937D45C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46209" y="4722340"/>
            <a:ext cx="535617" cy="535948"/>
          </a:xfrm>
          <a:prstGeom prst="rect">
            <a:avLst/>
          </a:prstGeom>
        </xdr:spPr>
      </xdr:pic>
      <xdr:sp macro="[0]!Groupe37_Cliquer" textlink="">
        <xdr:nvSpPr>
          <xdr:cNvPr id="55" name="ZoneTexte 54">
            <a:extLst>
              <a:ext uri="{FF2B5EF4-FFF2-40B4-BE49-F238E27FC236}">
                <a16:creationId xmlns:a16="http://schemas.microsoft.com/office/drawing/2014/main" id="{03FA49A5-04A3-EB14-CF37-7D95FA3161A7}"/>
              </a:ext>
            </a:extLst>
          </xdr:cNvPr>
          <xdr:cNvSpPr txBox="1"/>
        </xdr:nvSpPr>
        <xdr:spPr>
          <a:xfrm>
            <a:off x="3530219" y="5164359"/>
            <a:ext cx="1105079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PARAMETRES</a:t>
            </a:r>
          </a:p>
        </xdr:txBody>
      </xdr:sp>
    </xdr:grpSp>
    <xdr:clientData/>
  </xdr:twoCellAnchor>
  <xdr:twoCellAnchor>
    <xdr:from>
      <xdr:col>0</xdr:col>
      <xdr:colOff>1533524</xdr:colOff>
      <xdr:row>0</xdr:row>
      <xdr:rowOff>17146</xdr:rowOff>
    </xdr:from>
    <xdr:to>
      <xdr:col>0</xdr:col>
      <xdr:colOff>2453111</xdr:colOff>
      <xdr:row>0</xdr:row>
      <xdr:rowOff>750540</xdr:rowOff>
    </xdr:to>
    <xdr:grpSp>
      <xdr:nvGrpSpPr>
        <xdr:cNvPr id="56" name="Groupe 55">
          <a:extLst>
            <a:ext uri="{FF2B5EF4-FFF2-40B4-BE49-F238E27FC236}">
              <a16:creationId xmlns:a16="http://schemas.microsoft.com/office/drawing/2014/main" id="{AC13F715-C822-4C54-AD95-D2A515E4526C}"/>
            </a:ext>
          </a:extLst>
        </xdr:cNvPr>
        <xdr:cNvGrpSpPr/>
      </xdr:nvGrpSpPr>
      <xdr:grpSpPr>
        <a:xfrm>
          <a:off x="1533524" y="17146"/>
          <a:ext cx="919587" cy="733394"/>
          <a:chOff x="4474845" y="4713105"/>
          <a:chExt cx="982980" cy="799012"/>
        </a:xfrm>
      </xdr:grpSpPr>
      <xdr:pic macro="[0]!Groupe38_Cliquer">
        <xdr:nvPicPr>
          <xdr:cNvPr id="57" name="Graphique 56" descr="Clap avec un remplissage uni">
            <a:extLst>
              <a:ext uri="{FF2B5EF4-FFF2-40B4-BE49-F238E27FC236}">
                <a16:creationId xmlns:a16="http://schemas.microsoft.com/office/drawing/2014/main" id="{E852CB08-7BD9-54FF-BF57-AC99D56F42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678709" y="4713105"/>
            <a:ext cx="531905" cy="542989"/>
          </a:xfrm>
          <a:prstGeom prst="rect">
            <a:avLst/>
          </a:prstGeom>
        </xdr:spPr>
      </xdr:pic>
      <xdr:sp macro="[0]!Groupe38_Cliquer" textlink="">
        <xdr:nvSpPr>
          <xdr:cNvPr id="58" name="ZoneTexte 57">
            <a:extLst>
              <a:ext uri="{FF2B5EF4-FFF2-40B4-BE49-F238E27FC236}">
                <a16:creationId xmlns:a16="http://schemas.microsoft.com/office/drawing/2014/main" id="{9EFEEF5A-3E29-695E-52C8-DE14BBF4F41A}"/>
              </a:ext>
            </a:extLst>
          </xdr:cNvPr>
          <xdr:cNvSpPr txBox="1"/>
        </xdr:nvSpPr>
        <xdr:spPr>
          <a:xfrm>
            <a:off x="4474845" y="5150167"/>
            <a:ext cx="9829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SCENARIOS</a:t>
            </a:r>
          </a:p>
        </xdr:txBody>
      </xdr:sp>
    </xdr:grpSp>
    <xdr:clientData/>
  </xdr:twoCellAnchor>
  <xdr:twoCellAnchor>
    <xdr:from>
      <xdr:col>0</xdr:col>
      <xdr:colOff>2337434</xdr:colOff>
      <xdr:row>0</xdr:row>
      <xdr:rowOff>404</xdr:rowOff>
    </xdr:from>
    <xdr:to>
      <xdr:col>1</xdr:col>
      <xdr:colOff>340994</xdr:colOff>
      <xdr:row>0</xdr:row>
      <xdr:rowOff>747657</xdr:rowOff>
    </xdr:to>
    <xdr:grpSp>
      <xdr:nvGrpSpPr>
        <xdr:cNvPr id="59" name="Groupe 58">
          <a:extLst>
            <a:ext uri="{FF2B5EF4-FFF2-40B4-BE49-F238E27FC236}">
              <a16:creationId xmlns:a16="http://schemas.microsoft.com/office/drawing/2014/main" id="{B7C8E9FE-9BD1-4AED-801C-D90337326149}"/>
            </a:ext>
          </a:extLst>
        </xdr:cNvPr>
        <xdr:cNvGrpSpPr/>
      </xdr:nvGrpSpPr>
      <xdr:grpSpPr>
        <a:xfrm>
          <a:off x="2337434" y="404"/>
          <a:ext cx="984885" cy="747253"/>
          <a:chOff x="5246768" y="4711603"/>
          <a:chExt cx="1069956" cy="810823"/>
        </a:xfrm>
      </xdr:grpSpPr>
      <xdr:pic macro="[0]!Groupe39_Cliquer">
        <xdr:nvPicPr>
          <xdr:cNvPr id="60" name="Graphique 59" descr="Icône de menu d'hamburger avec un remplissage uni">
            <a:extLst>
              <a:ext uri="{FF2B5EF4-FFF2-40B4-BE49-F238E27FC236}">
                <a16:creationId xmlns:a16="http://schemas.microsoft.com/office/drawing/2014/main" id="{174AAA66-7777-1E43-9557-0A7F470993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507497" y="4711603"/>
            <a:ext cx="539783" cy="545993"/>
          </a:xfrm>
          <a:prstGeom prst="rect">
            <a:avLst/>
          </a:prstGeom>
        </xdr:spPr>
      </xdr:pic>
      <xdr:sp macro="[0]!Groupe39_Cliquer" textlink="">
        <xdr:nvSpPr>
          <xdr:cNvPr id="61" name="ZoneTexte 60">
            <a:extLst>
              <a:ext uri="{FF2B5EF4-FFF2-40B4-BE49-F238E27FC236}">
                <a16:creationId xmlns:a16="http://schemas.microsoft.com/office/drawing/2014/main" id="{B1619F25-9A0D-430F-A028-D04F5D3A1799}"/>
              </a:ext>
            </a:extLst>
          </xdr:cNvPr>
          <xdr:cNvSpPr txBox="1"/>
        </xdr:nvSpPr>
        <xdr:spPr>
          <a:xfrm>
            <a:off x="5246768" y="5160475"/>
            <a:ext cx="1069956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OPERATIONS</a:t>
            </a:r>
          </a:p>
        </xdr:txBody>
      </xdr:sp>
    </xdr:grpSp>
    <xdr:clientData/>
  </xdr:twoCellAnchor>
  <xdr:twoCellAnchor>
    <xdr:from>
      <xdr:col>1</xdr:col>
      <xdr:colOff>232410</xdr:colOff>
      <xdr:row>0</xdr:row>
      <xdr:rowOff>156</xdr:rowOff>
    </xdr:from>
    <xdr:to>
      <xdr:col>2</xdr:col>
      <xdr:colOff>75386</xdr:colOff>
      <xdr:row>0</xdr:row>
      <xdr:rowOff>749542</xdr:rowOff>
    </xdr:to>
    <xdr:grpSp>
      <xdr:nvGrpSpPr>
        <xdr:cNvPr id="62" name="Groupe 61">
          <a:extLst>
            <a:ext uri="{FF2B5EF4-FFF2-40B4-BE49-F238E27FC236}">
              <a16:creationId xmlns:a16="http://schemas.microsoft.com/office/drawing/2014/main" id="{F41CEF19-46EA-48EC-ACBE-9D70FFC6C7B5}"/>
            </a:ext>
          </a:extLst>
        </xdr:cNvPr>
        <xdr:cNvGrpSpPr/>
      </xdr:nvGrpSpPr>
      <xdr:grpSpPr>
        <a:xfrm>
          <a:off x="3213735" y="156"/>
          <a:ext cx="871676" cy="749386"/>
          <a:chOff x="6111240" y="4715166"/>
          <a:chExt cx="992505" cy="800761"/>
        </a:xfrm>
      </xdr:grpSpPr>
      <xdr:pic macro="[0]!Groupe40_Cliquer">
        <xdr:nvPicPr>
          <xdr:cNvPr id="63" name="Graphique 62" descr="Homme avec un remplissage uni">
            <a:extLst>
              <a:ext uri="{FF2B5EF4-FFF2-40B4-BE49-F238E27FC236}">
                <a16:creationId xmlns:a16="http://schemas.microsoft.com/office/drawing/2014/main" id="{35D4B257-921B-B68B-2240-EF0FA7582B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340353" y="4715166"/>
            <a:ext cx="533592" cy="538867"/>
          </a:xfrm>
          <a:prstGeom prst="rect">
            <a:avLst/>
          </a:prstGeom>
        </xdr:spPr>
      </xdr:pic>
      <xdr:sp macro="[0]!Groupe40_Cliquer" textlink="">
        <xdr:nvSpPr>
          <xdr:cNvPr id="64" name="ZoneTexte 63">
            <a:extLst>
              <a:ext uri="{FF2B5EF4-FFF2-40B4-BE49-F238E27FC236}">
                <a16:creationId xmlns:a16="http://schemas.microsoft.com/office/drawing/2014/main" id="{6C0CCDA8-2177-0454-8C69-71452425A932}"/>
              </a:ext>
            </a:extLst>
          </xdr:cNvPr>
          <xdr:cNvSpPr txBox="1"/>
        </xdr:nvSpPr>
        <xdr:spPr>
          <a:xfrm>
            <a:off x="6111240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MO</a:t>
            </a:r>
          </a:p>
        </xdr:txBody>
      </xdr:sp>
    </xdr:grpSp>
    <xdr:clientData/>
  </xdr:twoCellAnchor>
  <xdr:twoCellAnchor>
    <xdr:from>
      <xdr:col>1</xdr:col>
      <xdr:colOff>990599</xdr:colOff>
      <xdr:row>0</xdr:row>
      <xdr:rowOff>0</xdr:rowOff>
    </xdr:from>
    <xdr:to>
      <xdr:col>2</xdr:col>
      <xdr:colOff>914205</xdr:colOff>
      <xdr:row>0</xdr:row>
      <xdr:rowOff>749529</xdr:rowOff>
    </xdr:to>
    <xdr:grpSp>
      <xdr:nvGrpSpPr>
        <xdr:cNvPr id="65" name="Groupe 64">
          <a:extLst>
            <a:ext uri="{FF2B5EF4-FFF2-40B4-BE49-F238E27FC236}">
              <a16:creationId xmlns:a16="http://schemas.microsoft.com/office/drawing/2014/main" id="{42A0C531-1C18-475A-9C80-7E647B5AEA58}"/>
            </a:ext>
          </a:extLst>
        </xdr:cNvPr>
        <xdr:cNvGrpSpPr/>
      </xdr:nvGrpSpPr>
      <xdr:grpSpPr>
        <a:xfrm>
          <a:off x="3971924" y="0"/>
          <a:ext cx="952306" cy="749529"/>
          <a:chOff x="6905625" y="4716915"/>
          <a:chExt cx="992505" cy="799012"/>
        </a:xfrm>
      </xdr:grpSpPr>
      <xdr:pic macro="[0]!Groupe41_Cliquer">
        <xdr:nvPicPr>
          <xdr:cNvPr id="66" name="Graphique 65" descr="Tracteur avec un remplissage uni">
            <a:extLst>
              <a:ext uri="{FF2B5EF4-FFF2-40B4-BE49-F238E27FC236}">
                <a16:creationId xmlns:a16="http://schemas.microsoft.com/office/drawing/2014/main" id="{B022710A-BB8C-F1C3-8B45-D1E349A5B3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80353" y="4716915"/>
            <a:ext cx="496139" cy="542989"/>
          </a:xfrm>
          <a:prstGeom prst="rect">
            <a:avLst/>
          </a:prstGeom>
        </xdr:spPr>
      </xdr:pic>
      <xdr:sp macro="[0]!Groupe41_Cliquer" textlink="">
        <xdr:nvSpPr>
          <xdr:cNvPr id="67" name="ZoneTexte 66">
            <a:extLst>
              <a:ext uri="{FF2B5EF4-FFF2-40B4-BE49-F238E27FC236}">
                <a16:creationId xmlns:a16="http://schemas.microsoft.com/office/drawing/2014/main" id="{C83021B9-0F99-A2C8-216F-D9683213B3C3}"/>
              </a:ext>
            </a:extLst>
          </xdr:cNvPr>
          <xdr:cNvSpPr txBox="1"/>
        </xdr:nvSpPr>
        <xdr:spPr>
          <a:xfrm>
            <a:off x="6905625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MATERIEL</a:t>
            </a:r>
          </a:p>
        </xdr:txBody>
      </xdr:sp>
    </xdr:grpSp>
    <xdr:clientData/>
  </xdr:twoCellAnchor>
  <xdr:twoCellAnchor>
    <xdr:from>
      <xdr:col>2</xdr:col>
      <xdr:colOff>838197</xdr:colOff>
      <xdr:row>0</xdr:row>
      <xdr:rowOff>17222</xdr:rowOff>
    </xdr:from>
    <xdr:to>
      <xdr:col>3</xdr:col>
      <xdr:colOff>274628</xdr:colOff>
      <xdr:row>0</xdr:row>
      <xdr:rowOff>748644</xdr:rowOff>
    </xdr:to>
    <xdr:grpSp>
      <xdr:nvGrpSpPr>
        <xdr:cNvPr id="68" name="Groupe 67">
          <a:extLst>
            <a:ext uri="{FF2B5EF4-FFF2-40B4-BE49-F238E27FC236}">
              <a16:creationId xmlns:a16="http://schemas.microsoft.com/office/drawing/2014/main" id="{3EB1DC98-A6D9-47CC-A85C-5DDC9AC55827}"/>
            </a:ext>
          </a:extLst>
        </xdr:cNvPr>
        <xdr:cNvGrpSpPr/>
      </xdr:nvGrpSpPr>
      <xdr:grpSpPr>
        <a:xfrm>
          <a:off x="4848222" y="17222"/>
          <a:ext cx="884231" cy="731422"/>
          <a:chOff x="7750330" y="4720799"/>
          <a:chExt cx="991952" cy="793369"/>
        </a:xfrm>
      </xdr:grpSpPr>
      <xdr:pic macro="[0]!Groupe42_Cliquer">
        <xdr:nvPicPr>
          <xdr:cNvPr id="69" name="Graphique 68" descr="Potion avec un remplissage uni">
            <a:extLst>
              <a:ext uri="{FF2B5EF4-FFF2-40B4-BE49-F238E27FC236}">
                <a16:creationId xmlns:a16="http://schemas.microsoft.com/office/drawing/2014/main" id="{5EDCB0BE-C3E9-75DA-F818-A8AC3E064D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7982900" y="4720799"/>
            <a:ext cx="509890" cy="539030"/>
          </a:xfrm>
          <a:prstGeom prst="rect">
            <a:avLst/>
          </a:prstGeom>
        </xdr:spPr>
      </xdr:pic>
      <xdr:sp macro="[0]!Groupe42_Cliquer" textlink="">
        <xdr:nvSpPr>
          <xdr:cNvPr id="70" name="ZoneTexte 69">
            <a:extLst>
              <a:ext uri="{FF2B5EF4-FFF2-40B4-BE49-F238E27FC236}">
                <a16:creationId xmlns:a16="http://schemas.microsoft.com/office/drawing/2014/main" id="{9E49B178-0092-E8E1-3914-61D18CFA5892}"/>
              </a:ext>
            </a:extLst>
          </xdr:cNvPr>
          <xdr:cNvSpPr txBox="1"/>
        </xdr:nvSpPr>
        <xdr:spPr>
          <a:xfrm>
            <a:off x="7750330" y="5153156"/>
            <a:ext cx="991952" cy="3610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INTRANT</a:t>
            </a:r>
          </a:p>
        </xdr:txBody>
      </xdr:sp>
    </xdr:grpSp>
    <xdr:clientData/>
  </xdr:twoCellAnchor>
  <xdr:twoCellAnchor>
    <xdr:from>
      <xdr:col>3</xdr:col>
      <xdr:colOff>78104</xdr:colOff>
      <xdr:row>0</xdr:row>
      <xdr:rowOff>17826</xdr:rowOff>
    </xdr:from>
    <xdr:to>
      <xdr:col>3</xdr:col>
      <xdr:colOff>1232535</xdr:colOff>
      <xdr:row>0</xdr:row>
      <xdr:rowOff>750594</xdr:rowOff>
    </xdr:to>
    <xdr:grpSp>
      <xdr:nvGrpSpPr>
        <xdr:cNvPr id="71" name="Groupe 70">
          <a:extLst>
            <a:ext uri="{FF2B5EF4-FFF2-40B4-BE49-F238E27FC236}">
              <a16:creationId xmlns:a16="http://schemas.microsoft.com/office/drawing/2014/main" id="{4E5368D7-6994-4C11-9E2C-50BE14262A61}"/>
            </a:ext>
          </a:extLst>
        </xdr:cNvPr>
        <xdr:cNvGrpSpPr/>
      </xdr:nvGrpSpPr>
      <xdr:grpSpPr>
        <a:xfrm>
          <a:off x="5535929" y="17826"/>
          <a:ext cx="1154431" cy="732768"/>
          <a:chOff x="8469629" y="4725216"/>
          <a:chExt cx="1211580" cy="790711"/>
        </a:xfrm>
      </xdr:grpSpPr>
      <xdr:pic macro="[0]!Groupe43_Cliquer">
        <xdr:nvPicPr>
          <xdr:cNvPr id="72" name="Graphique 71" descr="Calculatrice avec un remplissage uni">
            <a:extLst>
              <a:ext uri="{FF2B5EF4-FFF2-40B4-BE49-F238E27FC236}">
                <a16:creationId xmlns:a16="http://schemas.microsoft.com/office/drawing/2014/main" id="{0F30FF69-D12E-5EDC-DBFB-F2BFE403ED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8787766" y="4725216"/>
            <a:ext cx="548639" cy="526386"/>
          </a:xfrm>
          <a:prstGeom prst="rect">
            <a:avLst/>
          </a:prstGeom>
        </xdr:spPr>
      </xdr:pic>
      <xdr:sp macro="[0]!Groupe43_Cliquer" textlink="">
        <xdr:nvSpPr>
          <xdr:cNvPr id="73" name="ZoneTexte 72">
            <a:extLst>
              <a:ext uri="{FF2B5EF4-FFF2-40B4-BE49-F238E27FC236}">
                <a16:creationId xmlns:a16="http://schemas.microsoft.com/office/drawing/2014/main" id="{3691B52C-5880-F809-0D2F-83081873E550}"/>
              </a:ext>
            </a:extLst>
          </xdr:cNvPr>
          <xdr:cNvSpPr txBox="1"/>
        </xdr:nvSpPr>
        <xdr:spPr>
          <a:xfrm>
            <a:off x="8469629" y="5153977"/>
            <a:ext cx="12115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DEBIT</a:t>
            </a:r>
            <a:r>
              <a:rPr lang="fr-FR" sz="1100" b="1" baseline="0">
                <a:solidFill>
                  <a:schemeClr val="bg1"/>
                </a:solidFill>
              </a:rPr>
              <a:t> CHANTIER</a:t>
            </a:r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22318</xdr:rowOff>
    </xdr:from>
    <xdr:to>
      <xdr:col>0</xdr:col>
      <xdr:colOff>685800</xdr:colOff>
      <xdr:row>0</xdr:row>
      <xdr:rowOff>740248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5170AE1-AF09-455C-8F70-680A2360BD0C}"/>
            </a:ext>
          </a:extLst>
        </xdr:cNvPr>
        <xdr:cNvGrpSpPr/>
      </xdr:nvGrpSpPr>
      <xdr:grpSpPr>
        <a:xfrm>
          <a:off x="0" y="22318"/>
          <a:ext cx="685800" cy="717930"/>
          <a:chOff x="20956" y="16737"/>
          <a:chExt cx="685800" cy="725550"/>
        </a:xfrm>
      </xdr:grpSpPr>
      <xdr:pic macro="[0]!Groupe36_Cliquer">
        <xdr:nvPicPr>
          <xdr:cNvPr id="3" name="Graphique 2" descr="Logement avec un remplissage uni">
            <a:extLst>
              <a:ext uri="{FF2B5EF4-FFF2-40B4-BE49-F238E27FC236}">
                <a16:creationId xmlns:a16="http://schemas.microsoft.com/office/drawing/2014/main" id="{C1AA885B-B0D2-8435-4610-18960371E5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4104" y="16737"/>
            <a:ext cx="444128" cy="494723"/>
          </a:xfrm>
          <a:prstGeom prst="rect">
            <a:avLst/>
          </a:prstGeom>
        </xdr:spPr>
      </xdr:pic>
      <xdr:sp macro="[0]!Groupe36_Cliquer" textlink="">
        <xdr:nvSpPr>
          <xdr:cNvPr id="4" name="ZoneTexte 3">
            <a:extLst>
              <a:ext uri="{FF2B5EF4-FFF2-40B4-BE49-F238E27FC236}">
                <a16:creationId xmlns:a16="http://schemas.microsoft.com/office/drawing/2014/main" id="{9C05F158-6335-30EF-EF1B-6DE85A3F079E}"/>
              </a:ext>
            </a:extLst>
          </xdr:cNvPr>
          <xdr:cNvSpPr txBox="1"/>
        </xdr:nvSpPr>
        <xdr:spPr>
          <a:xfrm>
            <a:off x="20956" y="407204"/>
            <a:ext cx="685800" cy="335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ACCUEIL</a:t>
            </a:r>
          </a:p>
        </xdr:txBody>
      </xdr:sp>
    </xdr:grpSp>
    <xdr:clientData/>
  </xdr:twoCellAnchor>
  <xdr:twoCellAnchor>
    <xdr:from>
      <xdr:col>0</xdr:col>
      <xdr:colOff>617218</xdr:colOff>
      <xdr:row>0</xdr:row>
      <xdr:rowOff>22570</xdr:rowOff>
    </xdr:from>
    <xdr:to>
      <xdr:col>1</xdr:col>
      <xdr:colOff>800099</xdr:colOff>
      <xdr:row>0</xdr:row>
      <xdr:rowOff>744953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995AA98-5E7E-4650-B3D8-09E1E96785E1}"/>
            </a:ext>
          </a:extLst>
        </xdr:cNvPr>
        <xdr:cNvGrpSpPr/>
      </xdr:nvGrpSpPr>
      <xdr:grpSpPr>
        <a:xfrm>
          <a:off x="617218" y="22570"/>
          <a:ext cx="1028701" cy="722383"/>
          <a:chOff x="3530219" y="4722340"/>
          <a:chExt cx="1105079" cy="803969"/>
        </a:xfrm>
      </xdr:grpSpPr>
      <xdr:pic macro="[0]!Groupe37_Cliquer">
        <xdr:nvPicPr>
          <xdr:cNvPr id="6" name="Graphique 5" descr="Engrenage avec un remplissage uni">
            <a:extLst>
              <a:ext uri="{FF2B5EF4-FFF2-40B4-BE49-F238E27FC236}">
                <a16:creationId xmlns:a16="http://schemas.microsoft.com/office/drawing/2014/main" id="{7B8E784C-2DFE-A538-2D45-5D1B04C526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46209" y="4722340"/>
            <a:ext cx="535617" cy="535948"/>
          </a:xfrm>
          <a:prstGeom prst="rect">
            <a:avLst/>
          </a:prstGeom>
        </xdr:spPr>
      </xdr:pic>
      <xdr:sp macro="[0]!Groupe37_Cliquer" textlink="">
        <xdr:nvSpPr>
          <xdr:cNvPr id="7" name="ZoneTexte 6">
            <a:extLst>
              <a:ext uri="{FF2B5EF4-FFF2-40B4-BE49-F238E27FC236}">
                <a16:creationId xmlns:a16="http://schemas.microsoft.com/office/drawing/2014/main" id="{4F622D95-DDBE-EFCD-547E-37DC3FA7012A}"/>
              </a:ext>
            </a:extLst>
          </xdr:cNvPr>
          <xdr:cNvSpPr txBox="1"/>
        </xdr:nvSpPr>
        <xdr:spPr>
          <a:xfrm>
            <a:off x="3530219" y="5164359"/>
            <a:ext cx="1105079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PARAMETRES</a:t>
            </a:r>
          </a:p>
        </xdr:txBody>
      </xdr:sp>
    </xdr:grpSp>
    <xdr:clientData/>
  </xdr:twoCellAnchor>
  <xdr:twoCellAnchor>
    <xdr:from>
      <xdr:col>1</xdr:col>
      <xdr:colOff>687704</xdr:colOff>
      <xdr:row>0</xdr:row>
      <xdr:rowOff>20956</xdr:rowOff>
    </xdr:from>
    <xdr:to>
      <xdr:col>1</xdr:col>
      <xdr:colOff>1609196</xdr:colOff>
      <xdr:row>0</xdr:row>
      <xdr:rowOff>746730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5B0E18A-ED53-486D-BA40-8F1849C81FC1}"/>
            </a:ext>
          </a:extLst>
        </xdr:cNvPr>
        <xdr:cNvGrpSpPr/>
      </xdr:nvGrpSpPr>
      <xdr:grpSpPr>
        <a:xfrm>
          <a:off x="1533524" y="20956"/>
          <a:ext cx="921492" cy="725774"/>
          <a:chOff x="4474845" y="4713105"/>
          <a:chExt cx="982980" cy="799012"/>
        </a:xfrm>
      </xdr:grpSpPr>
      <xdr:pic macro="[0]!Groupe38_Cliquer">
        <xdr:nvPicPr>
          <xdr:cNvPr id="9" name="Graphique 8" descr="Clap avec un remplissage uni">
            <a:extLst>
              <a:ext uri="{FF2B5EF4-FFF2-40B4-BE49-F238E27FC236}">
                <a16:creationId xmlns:a16="http://schemas.microsoft.com/office/drawing/2014/main" id="{008B77B8-0C98-6662-2EE6-3D9CA9DFF6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678709" y="4713105"/>
            <a:ext cx="531905" cy="542989"/>
          </a:xfrm>
          <a:prstGeom prst="rect">
            <a:avLst/>
          </a:prstGeom>
        </xdr:spPr>
      </xdr:pic>
      <xdr:sp macro="[0]!Groupe38_Cliquer" textlink="">
        <xdr:nvSpPr>
          <xdr:cNvPr id="10" name="ZoneTexte 9">
            <a:extLst>
              <a:ext uri="{FF2B5EF4-FFF2-40B4-BE49-F238E27FC236}">
                <a16:creationId xmlns:a16="http://schemas.microsoft.com/office/drawing/2014/main" id="{2682EAAD-232F-3746-40FF-78E096609ECB}"/>
              </a:ext>
            </a:extLst>
          </xdr:cNvPr>
          <xdr:cNvSpPr txBox="1"/>
        </xdr:nvSpPr>
        <xdr:spPr>
          <a:xfrm>
            <a:off x="4474845" y="5150167"/>
            <a:ext cx="9829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SCENARIOS</a:t>
            </a:r>
          </a:p>
        </xdr:txBody>
      </xdr:sp>
    </xdr:grpSp>
    <xdr:clientData/>
  </xdr:twoCellAnchor>
  <xdr:twoCellAnchor>
    <xdr:from>
      <xdr:col>1</xdr:col>
      <xdr:colOff>1493519</xdr:colOff>
      <xdr:row>0</xdr:row>
      <xdr:rowOff>404</xdr:rowOff>
    </xdr:from>
    <xdr:to>
      <xdr:col>1</xdr:col>
      <xdr:colOff>2474594</xdr:colOff>
      <xdr:row>0</xdr:row>
      <xdr:rowOff>743847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1E1F414F-CDF9-4941-B4AF-1B6BFDDA33D3}"/>
            </a:ext>
          </a:extLst>
        </xdr:cNvPr>
        <xdr:cNvGrpSpPr/>
      </xdr:nvGrpSpPr>
      <xdr:grpSpPr>
        <a:xfrm>
          <a:off x="2339339" y="404"/>
          <a:ext cx="981075" cy="743443"/>
          <a:chOff x="5246768" y="4711603"/>
          <a:chExt cx="1069956" cy="810823"/>
        </a:xfrm>
      </xdr:grpSpPr>
      <xdr:pic macro="[0]!Groupe39_Cliquer">
        <xdr:nvPicPr>
          <xdr:cNvPr id="12" name="Graphique 11" descr="Icône de menu d'hamburger avec un remplissage uni">
            <a:extLst>
              <a:ext uri="{FF2B5EF4-FFF2-40B4-BE49-F238E27FC236}">
                <a16:creationId xmlns:a16="http://schemas.microsoft.com/office/drawing/2014/main" id="{EE14B8DD-1A63-81D0-657B-55DEE8A1B3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507497" y="4711603"/>
            <a:ext cx="539783" cy="545993"/>
          </a:xfrm>
          <a:prstGeom prst="rect">
            <a:avLst/>
          </a:prstGeom>
        </xdr:spPr>
      </xdr:pic>
      <xdr:sp macro="[0]!Groupe39_Cliquer" textlink="">
        <xdr:nvSpPr>
          <xdr:cNvPr id="13" name="ZoneTexte 12">
            <a:extLst>
              <a:ext uri="{FF2B5EF4-FFF2-40B4-BE49-F238E27FC236}">
                <a16:creationId xmlns:a16="http://schemas.microsoft.com/office/drawing/2014/main" id="{0626C76F-1681-389A-B2B7-6A98ECC7BE12}"/>
              </a:ext>
            </a:extLst>
          </xdr:cNvPr>
          <xdr:cNvSpPr txBox="1"/>
        </xdr:nvSpPr>
        <xdr:spPr>
          <a:xfrm>
            <a:off x="5246768" y="5160475"/>
            <a:ext cx="1069956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OPERATIONS</a:t>
            </a:r>
          </a:p>
        </xdr:txBody>
      </xdr:sp>
    </xdr:grpSp>
    <xdr:clientData/>
  </xdr:twoCellAnchor>
  <xdr:twoCellAnchor>
    <xdr:from>
      <xdr:col>1</xdr:col>
      <xdr:colOff>2367915</xdr:colOff>
      <xdr:row>0</xdr:row>
      <xdr:rowOff>156</xdr:rowOff>
    </xdr:from>
    <xdr:to>
      <xdr:col>2</xdr:col>
      <xdr:colOff>208736</xdr:colOff>
      <xdr:row>0</xdr:row>
      <xdr:rowOff>745732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EB05F51-E97B-4387-A5CE-B024E28B5446}"/>
            </a:ext>
          </a:extLst>
        </xdr:cNvPr>
        <xdr:cNvGrpSpPr/>
      </xdr:nvGrpSpPr>
      <xdr:grpSpPr>
        <a:xfrm>
          <a:off x="3213735" y="156"/>
          <a:ext cx="865961" cy="745576"/>
          <a:chOff x="6111240" y="4715166"/>
          <a:chExt cx="992505" cy="800761"/>
        </a:xfrm>
      </xdr:grpSpPr>
      <xdr:pic macro="[0]!Groupe40_Cliquer">
        <xdr:nvPicPr>
          <xdr:cNvPr id="15" name="Graphique 14" descr="Homme avec un remplissage uni">
            <a:extLst>
              <a:ext uri="{FF2B5EF4-FFF2-40B4-BE49-F238E27FC236}">
                <a16:creationId xmlns:a16="http://schemas.microsoft.com/office/drawing/2014/main" id="{928197C4-4291-3E95-1708-F62A9EABE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340353" y="4715166"/>
            <a:ext cx="533592" cy="538867"/>
          </a:xfrm>
          <a:prstGeom prst="rect">
            <a:avLst/>
          </a:prstGeom>
        </xdr:spPr>
      </xdr:pic>
      <xdr:sp macro="[0]!Groupe40_Cliquer" textlink="">
        <xdr:nvSpPr>
          <xdr:cNvPr id="16" name="ZoneTexte 15">
            <a:extLst>
              <a:ext uri="{FF2B5EF4-FFF2-40B4-BE49-F238E27FC236}">
                <a16:creationId xmlns:a16="http://schemas.microsoft.com/office/drawing/2014/main" id="{024DB949-1AC0-1F2D-A32D-5F632E054A40}"/>
              </a:ext>
            </a:extLst>
          </xdr:cNvPr>
          <xdr:cNvSpPr txBox="1"/>
        </xdr:nvSpPr>
        <xdr:spPr>
          <a:xfrm>
            <a:off x="6111240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MO</a:t>
            </a:r>
          </a:p>
        </xdr:txBody>
      </xdr:sp>
    </xdr:grpSp>
    <xdr:clientData/>
  </xdr:twoCellAnchor>
  <xdr:twoCellAnchor>
    <xdr:from>
      <xdr:col>2</xdr:col>
      <xdr:colOff>95249</xdr:colOff>
      <xdr:row>0</xdr:row>
      <xdr:rowOff>0</xdr:rowOff>
    </xdr:from>
    <xdr:to>
      <xdr:col>3</xdr:col>
      <xdr:colOff>190305</xdr:colOff>
      <xdr:row>0</xdr:row>
      <xdr:rowOff>745719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7F55D1E7-5A65-4A4D-A6E9-02E9CCFEC79D}"/>
            </a:ext>
          </a:extLst>
        </xdr:cNvPr>
        <xdr:cNvGrpSpPr/>
      </xdr:nvGrpSpPr>
      <xdr:grpSpPr>
        <a:xfrm>
          <a:off x="3966209" y="0"/>
          <a:ext cx="956116" cy="745719"/>
          <a:chOff x="6905625" y="4716915"/>
          <a:chExt cx="992505" cy="799012"/>
        </a:xfrm>
      </xdr:grpSpPr>
      <xdr:pic macro="[0]!Groupe41_Cliquer">
        <xdr:nvPicPr>
          <xdr:cNvPr id="18" name="Graphique 17" descr="Tracteur avec un remplissage uni">
            <a:extLst>
              <a:ext uri="{FF2B5EF4-FFF2-40B4-BE49-F238E27FC236}">
                <a16:creationId xmlns:a16="http://schemas.microsoft.com/office/drawing/2014/main" id="{D825DF57-37BA-DC5C-E7A9-6B8FF110D5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80353" y="4716915"/>
            <a:ext cx="496139" cy="542989"/>
          </a:xfrm>
          <a:prstGeom prst="rect">
            <a:avLst/>
          </a:prstGeom>
        </xdr:spPr>
      </xdr:pic>
      <xdr:sp macro="[0]!Groupe41_Cliquer" textlink="">
        <xdr:nvSpPr>
          <xdr:cNvPr id="19" name="ZoneTexte 18">
            <a:extLst>
              <a:ext uri="{FF2B5EF4-FFF2-40B4-BE49-F238E27FC236}">
                <a16:creationId xmlns:a16="http://schemas.microsoft.com/office/drawing/2014/main" id="{92195630-18ED-E27E-EF93-28DB14DAE73F}"/>
              </a:ext>
            </a:extLst>
          </xdr:cNvPr>
          <xdr:cNvSpPr txBox="1"/>
        </xdr:nvSpPr>
        <xdr:spPr>
          <a:xfrm>
            <a:off x="6905625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MATERIEL</a:t>
            </a:r>
          </a:p>
        </xdr:txBody>
      </xdr:sp>
    </xdr:grpSp>
    <xdr:clientData/>
  </xdr:twoCellAnchor>
  <xdr:twoCellAnchor>
    <xdr:from>
      <xdr:col>3</xdr:col>
      <xdr:colOff>114297</xdr:colOff>
      <xdr:row>0</xdr:row>
      <xdr:rowOff>21032</xdr:rowOff>
    </xdr:from>
    <xdr:to>
      <xdr:col>4</xdr:col>
      <xdr:colOff>143183</xdr:colOff>
      <xdr:row>0</xdr:row>
      <xdr:rowOff>744834</xdr:rowOff>
    </xdr:to>
    <xdr:grpSp>
      <xdr:nvGrpSpPr>
        <xdr:cNvPr id="20" name="Groupe 19">
          <a:extLst>
            <a:ext uri="{FF2B5EF4-FFF2-40B4-BE49-F238E27FC236}">
              <a16:creationId xmlns:a16="http://schemas.microsoft.com/office/drawing/2014/main" id="{0178D9F5-661B-4D03-B5F2-50CCB27DEC31}"/>
            </a:ext>
          </a:extLst>
        </xdr:cNvPr>
        <xdr:cNvGrpSpPr/>
      </xdr:nvGrpSpPr>
      <xdr:grpSpPr>
        <a:xfrm>
          <a:off x="4846317" y="21032"/>
          <a:ext cx="889946" cy="723802"/>
          <a:chOff x="7750330" y="4720799"/>
          <a:chExt cx="991952" cy="793369"/>
        </a:xfrm>
      </xdr:grpSpPr>
      <xdr:pic macro="[0]!Groupe42_Cliquer">
        <xdr:nvPicPr>
          <xdr:cNvPr id="21" name="Graphique 20" descr="Potion avec un remplissage uni">
            <a:extLst>
              <a:ext uri="{FF2B5EF4-FFF2-40B4-BE49-F238E27FC236}">
                <a16:creationId xmlns:a16="http://schemas.microsoft.com/office/drawing/2014/main" id="{BF234844-BEBF-895B-7BEF-C7E8BDB8B7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7982900" y="4720799"/>
            <a:ext cx="509890" cy="539030"/>
          </a:xfrm>
          <a:prstGeom prst="rect">
            <a:avLst/>
          </a:prstGeom>
        </xdr:spPr>
      </xdr:pic>
      <xdr:sp macro="[0]!Groupe42_Cliquer" textlink="">
        <xdr:nvSpPr>
          <xdr:cNvPr id="22" name="ZoneTexte 21">
            <a:extLst>
              <a:ext uri="{FF2B5EF4-FFF2-40B4-BE49-F238E27FC236}">
                <a16:creationId xmlns:a16="http://schemas.microsoft.com/office/drawing/2014/main" id="{914A7201-2015-07AE-C032-A230B2DC4BB7}"/>
              </a:ext>
            </a:extLst>
          </xdr:cNvPr>
          <xdr:cNvSpPr txBox="1"/>
        </xdr:nvSpPr>
        <xdr:spPr>
          <a:xfrm>
            <a:off x="7750330" y="5153156"/>
            <a:ext cx="991952" cy="3610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INTRANT</a:t>
            </a:r>
          </a:p>
        </xdr:txBody>
      </xdr:sp>
    </xdr:grpSp>
    <xdr:clientData/>
  </xdr:twoCellAnchor>
  <xdr:twoCellAnchor>
    <xdr:from>
      <xdr:col>3</xdr:col>
      <xdr:colOff>802004</xdr:colOff>
      <xdr:row>0</xdr:row>
      <xdr:rowOff>21636</xdr:rowOff>
    </xdr:from>
    <xdr:to>
      <xdr:col>5</xdr:col>
      <xdr:colOff>474345</xdr:colOff>
      <xdr:row>0</xdr:row>
      <xdr:rowOff>748689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2AF7EC43-B415-4CF7-87CD-68772851E5D1}"/>
            </a:ext>
          </a:extLst>
        </xdr:cNvPr>
        <xdr:cNvGrpSpPr/>
      </xdr:nvGrpSpPr>
      <xdr:grpSpPr>
        <a:xfrm>
          <a:off x="5534024" y="21636"/>
          <a:ext cx="1463041" cy="727053"/>
          <a:chOff x="8469629" y="4725216"/>
          <a:chExt cx="1211580" cy="790711"/>
        </a:xfrm>
      </xdr:grpSpPr>
      <xdr:pic macro="[0]!Groupe43_Cliquer">
        <xdr:nvPicPr>
          <xdr:cNvPr id="24" name="Graphique 23" descr="Calculatrice avec un remplissage uni">
            <a:extLst>
              <a:ext uri="{FF2B5EF4-FFF2-40B4-BE49-F238E27FC236}">
                <a16:creationId xmlns:a16="http://schemas.microsoft.com/office/drawing/2014/main" id="{49F9101F-C293-089C-C594-57F53F2D08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8787766" y="4725216"/>
            <a:ext cx="548639" cy="526386"/>
          </a:xfrm>
          <a:prstGeom prst="rect">
            <a:avLst/>
          </a:prstGeom>
        </xdr:spPr>
      </xdr:pic>
      <xdr:sp macro="[0]!Groupe43_Cliquer" textlink="">
        <xdr:nvSpPr>
          <xdr:cNvPr id="49" name="ZoneTexte 48">
            <a:extLst>
              <a:ext uri="{FF2B5EF4-FFF2-40B4-BE49-F238E27FC236}">
                <a16:creationId xmlns:a16="http://schemas.microsoft.com/office/drawing/2014/main" id="{41313B66-CA0E-910D-D163-B3F9EDC6BF0D}"/>
              </a:ext>
            </a:extLst>
          </xdr:cNvPr>
          <xdr:cNvSpPr txBox="1"/>
        </xdr:nvSpPr>
        <xdr:spPr>
          <a:xfrm>
            <a:off x="8469629" y="5153977"/>
            <a:ext cx="12115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DEBIT</a:t>
            </a:r>
            <a:r>
              <a:rPr lang="fr-FR" sz="1100" b="1" baseline="0">
                <a:solidFill>
                  <a:schemeClr val="bg1"/>
                </a:solidFill>
              </a:rPr>
              <a:t> CHANTIER</a:t>
            </a:r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18508</xdr:rowOff>
    </xdr:from>
    <xdr:to>
      <xdr:col>0</xdr:col>
      <xdr:colOff>685800</xdr:colOff>
      <xdr:row>0</xdr:row>
      <xdr:rowOff>744058</xdr:rowOff>
    </xdr:to>
    <xdr:grpSp>
      <xdr:nvGrpSpPr>
        <xdr:cNvPr id="25" name="Groupe 24">
          <a:extLst>
            <a:ext uri="{FF2B5EF4-FFF2-40B4-BE49-F238E27FC236}">
              <a16:creationId xmlns:a16="http://schemas.microsoft.com/office/drawing/2014/main" id="{0DE2E2EA-8D2D-46E6-9B6C-A28FCE846A19}"/>
            </a:ext>
          </a:extLst>
        </xdr:cNvPr>
        <xdr:cNvGrpSpPr/>
      </xdr:nvGrpSpPr>
      <xdr:grpSpPr>
        <a:xfrm>
          <a:off x="0" y="18508"/>
          <a:ext cx="685800" cy="725550"/>
          <a:chOff x="20956" y="16737"/>
          <a:chExt cx="685800" cy="725550"/>
        </a:xfrm>
      </xdr:grpSpPr>
      <xdr:pic macro="[0]!Groupe36_Cliquer">
        <xdr:nvPicPr>
          <xdr:cNvPr id="26" name="Graphique 25" descr="Logement avec un remplissage uni">
            <a:extLst>
              <a:ext uri="{FF2B5EF4-FFF2-40B4-BE49-F238E27FC236}">
                <a16:creationId xmlns:a16="http://schemas.microsoft.com/office/drawing/2014/main" id="{7373D97D-8EB6-EF6D-CEDD-7F88D08A0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4104" y="16737"/>
            <a:ext cx="444128" cy="494723"/>
          </a:xfrm>
          <a:prstGeom prst="rect">
            <a:avLst/>
          </a:prstGeom>
        </xdr:spPr>
      </xdr:pic>
      <xdr:sp macro="[0]!Groupe36_Cliquer" textlink="">
        <xdr:nvSpPr>
          <xdr:cNvPr id="27" name="ZoneTexte 26">
            <a:extLst>
              <a:ext uri="{FF2B5EF4-FFF2-40B4-BE49-F238E27FC236}">
                <a16:creationId xmlns:a16="http://schemas.microsoft.com/office/drawing/2014/main" id="{60D2A49B-F960-E8D7-FE12-6796139C98D1}"/>
              </a:ext>
            </a:extLst>
          </xdr:cNvPr>
          <xdr:cNvSpPr txBox="1"/>
        </xdr:nvSpPr>
        <xdr:spPr>
          <a:xfrm>
            <a:off x="20956" y="407204"/>
            <a:ext cx="685800" cy="335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ACCUEIL</a:t>
            </a:r>
          </a:p>
        </xdr:txBody>
      </xdr:sp>
    </xdr:grpSp>
    <xdr:clientData/>
  </xdr:twoCellAnchor>
  <xdr:twoCellAnchor>
    <xdr:from>
      <xdr:col>0</xdr:col>
      <xdr:colOff>653413</xdr:colOff>
      <xdr:row>0</xdr:row>
      <xdr:rowOff>18760</xdr:rowOff>
    </xdr:from>
    <xdr:to>
      <xdr:col>1</xdr:col>
      <xdr:colOff>632458</xdr:colOff>
      <xdr:row>0</xdr:row>
      <xdr:rowOff>743048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F201F9C4-C024-4DC6-B7F4-8F5D96A8EE1B}"/>
            </a:ext>
          </a:extLst>
        </xdr:cNvPr>
        <xdr:cNvGrpSpPr/>
      </xdr:nvGrpSpPr>
      <xdr:grpSpPr>
        <a:xfrm>
          <a:off x="653413" y="18760"/>
          <a:ext cx="980531" cy="724288"/>
          <a:chOff x="3581223" y="4722340"/>
          <a:chExt cx="1047699" cy="803969"/>
        </a:xfrm>
      </xdr:grpSpPr>
      <xdr:pic macro="[0]!Groupe37_Cliquer">
        <xdr:nvPicPr>
          <xdr:cNvPr id="29" name="Graphique 28" descr="Engrenage avec un remplissage uni">
            <a:extLst>
              <a:ext uri="{FF2B5EF4-FFF2-40B4-BE49-F238E27FC236}">
                <a16:creationId xmlns:a16="http://schemas.microsoft.com/office/drawing/2014/main" id="{D43F116A-A9C6-EC2C-CECA-F203179853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46209" y="4722340"/>
            <a:ext cx="535617" cy="535948"/>
          </a:xfrm>
          <a:prstGeom prst="rect">
            <a:avLst/>
          </a:prstGeom>
        </xdr:spPr>
      </xdr:pic>
      <xdr:sp macro="[0]!Groupe37_Cliquer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BB8317C-648B-1A31-D932-3530E12C998B}"/>
              </a:ext>
            </a:extLst>
          </xdr:cNvPr>
          <xdr:cNvSpPr txBox="1"/>
        </xdr:nvSpPr>
        <xdr:spPr>
          <a:xfrm>
            <a:off x="3581223" y="5164359"/>
            <a:ext cx="1047699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PARAMETRES</a:t>
            </a:r>
          </a:p>
        </xdr:txBody>
      </xdr:sp>
    </xdr:grpSp>
    <xdr:clientData/>
  </xdr:twoCellAnchor>
  <xdr:twoCellAnchor>
    <xdr:from>
      <xdr:col>1</xdr:col>
      <xdr:colOff>533399</xdr:colOff>
      <xdr:row>0</xdr:row>
      <xdr:rowOff>17146</xdr:rowOff>
    </xdr:from>
    <xdr:to>
      <xdr:col>1</xdr:col>
      <xdr:colOff>1452986</xdr:colOff>
      <xdr:row>0</xdr:row>
      <xdr:rowOff>750540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2183FBEC-5284-44EF-9823-53516D18798F}"/>
            </a:ext>
          </a:extLst>
        </xdr:cNvPr>
        <xdr:cNvGrpSpPr/>
      </xdr:nvGrpSpPr>
      <xdr:grpSpPr>
        <a:xfrm>
          <a:off x="1534885" y="17146"/>
          <a:ext cx="919587" cy="733394"/>
          <a:chOff x="4474845" y="4713105"/>
          <a:chExt cx="982980" cy="799012"/>
        </a:xfrm>
      </xdr:grpSpPr>
      <xdr:pic macro="[0]!Groupe38_Cliquer">
        <xdr:nvPicPr>
          <xdr:cNvPr id="32" name="Graphique 31" descr="Clap avec un remplissage uni">
            <a:extLst>
              <a:ext uri="{FF2B5EF4-FFF2-40B4-BE49-F238E27FC236}">
                <a16:creationId xmlns:a16="http://schemas.microsoft.com/office/drawing/2014/main" id="{6494839A-D747-E73B-ACEF-BC3B74A6F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678709" y="4713105"/>
            <a:ext cx="531905" cy="542989"/>
          </a:xfrm>
          <a:prstGeom prst="rect">
            <a:avLst/>
          </a:prstGeom>
        </xdr:spPr>
      </xdr:pic>
      <xdr:sp macro="[0]!Groupe38_Cliquer" textlink="">
        <xdr:nvSpPr>
          <xdr:cNvPr id="33" name="ZoneTexte 32">
            <a:extLst>
              <a:ext uri="{FF2B5EF4-FFF2-40B4-BE49-F238E27FC236}">
                <a16:creationId xmlns:a16="http://schemas.microsoft.com/office/drawing/2014/main" id="{DBC43A9E-6D3A-1178-B781-BF31E4CDF292}"/>
              </a:ext>
            </a:extLst>
          </xdr:cNvPr>
          <xdr:cNvSpPr txBox="1"/>
        </xdr:nvSpPr>
        <xdr:spPr>
          <a:xfrm>
            <a:off x="4474845" y="5150167"/>
            <a:ext cx="9829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SCENARIOS</a:t>
            </a:r>
          </a:p>
        </xdr:txBody>
      </xdr:sp>
    </xdr:grpSp>
    <xdr:clientData/>
  </xdr:twoCellAnchor>
  <xdr:twoCellAnchor>
    <xdr:from>
      <xdr:col>1</xdr:col>
      <xdr:colOff>1337309</xdr:colOff>
      <xdr:row>0</xdr:row>
      <xdr:rowOff>404</xdr:rowOff>
    </xdr:from>
    <xdr:to>
      <xdr:col>2</xdr:col>
      <xdr:colOff>264794</xdr:colOff>
      <xdr:row>0</xdr:row>
      <xdr:rowOff>747657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8FBACC2F-BEA1-4357-89EA-C174BBCC778C}"/>
            </a:ext>
          </a:extLst>
        </xdr:cNvPr>
        <xdr:cNvGrpSpPr/>
      </xdr:nvGrpSpPr>
      <xdr:grpSpPr>
        <a:xfrm>
          <a:off x="2338795" y="404"/>
          <a:ext cx="984885" cy="747253"/>
          <a:chOff x="5246768" y="4711603"/>
          <a:chExt cx="1069956" cy="810823"/>
        </a:xfrm>
      </xdr:grpSpPr>
      <xdr:pic macro="[0]!Groupe39_Cliquer">
        <xdr:nvPicPr>
          <xdr:cNvPr id="35" name="Graphique 34" descr="Icône de menu d'hamburger avec un remplissage uni">
            <a:extLst>
              <a:ext uri="{FF2B5EF4-FFF2-40B4-BE49-F238E27FC236}">
                <a16:creationId xmlns:a16="http://schemas.microsoft.com/office/drawing/2014/main" id="{D9401CA9-7C88-28A6-A98A-149FACBC8B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507497" y="4711603"/>
            <a:ext cx="539783" cy="545993"/>
          </a:xfrm>
          <a:prstGeom prst="rect">
            <a:avLst/>
          </a:prstGeom>
        </xdr:spPr>
      </xdr:pic>
      <xdr:sp macro="[0]!Groupe39_Cliquer" textlink="">
        <xdr:nvSpPr>
          <xdr:cNvPr id="36" name="ZoneTexte 35">
            <a:extLst>
              <a:ext uri="{FF2B5EF4-FFF2-40B4-BE49-F238E27FC236}">
                <a16:creationId xmlns:a16="http://schemas.microsoft.com/office/drawing/2014/main" id="{9F681010-C26D-BFE9-9EA6-5CD7B212F46D}"/>
              </a:ext>
            </a:extLst>
          </xdr:cNvPr>
          <xdr:cNvSpPr txBox="1"/>
        </xdr:nvSpPr>
        <xdr:spPr>
          <a:xfrm>
            <a:off x="5246768" y="5160475"/>
            <a:ext cx="1069956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OPERATIONS</a:t>
            </a:r>
          </a:p>
        </xdr:txBody>
      </xdr:sp>
    </xdr:grpSp>
    <xdr:clientData/>
  </xdr:twoCellAnchor>
  <xdr:twoCellAnchor>
    <xdr:from>
      <xdr:col>2</xdr:col>
      <xdr:colOff>156210</xdr:colOff>
      <xdr:row>0</xdr:row>
      <xdr:rowOff>156</xdr:rowOff>
    </xdr:from>
    <xdr:to>
      <xdr:col>2</xdr:col>
      <xdr:colOff>1027886</xdr:colOff>
      <xdr:row>0</xdr:row>
      <xdr:rowOff>749542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24C6E1CA-8F48-490E-BBF9-90DC2CB9FCA7}"/>
            </a:ext>
          </a:extLst>
        </xdr:cNvPr>
        <xdr:cNvGrpSpPr/>
      </xdr:nvGrpSpPr>
      <xdr:grpSpPr>
        <a:xfrm>
          <a:off x="3215096" y="156"/>
          <a:ext cx="871676" cy="749386"/>
          <a:chOff x="6111240" y="4715166"/>
          <a:chExt cx="992505" cy="800761"/>
        </a:xfrm>
      </xdr:grpSpPr>
      <xdr:pic macro="[0]!Groupe40_Cliquer">
        <xdr:nvPicPr>
          <xdr:cNvPr id="38" name="Graphique 37" descr="Homme avec un remplissage uni">
            <a:extLst>
              <a:ext uri="{FF2B5EF4-FFF2-40B4-BE49-F238E27FC236}">
                <a16:creationId xmlns:a16="http://schemas.microsoft.com/office/drawing/2014/main" id="{87B1FD72-192E-BCE5-C839-734087B16E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340353" y="4715166"/>
            <a:ext cx="533592" cy="538867"/>
          </a:xfrm>
          <a:prstGeom prst="rect">
            <a:avLst/>
          </a:prstGeom>
        </xdr:spPr>
      </xdr:pic>
      <xdr:sp macro="[0]!Groupe40_Cliquer" textlink="">
        <xdr:nvSpPr>
          <xdr:cNvPr id="39" name="ZoneTexte 38">
            <a:extLst>
              <a:ext uri="{FF2B5EF4-FFF2-40B4-BE49-F238E27FC236}">
                <a16:creationId xmlns:a16="http://schemas.microsoft.com/office/drawing/2014/main" id="{F5FD574C-19C3-F440-BFAB-D562D6967E47}"/>
              </a:ext>
            </a:extLst>
          </xdr:cNvPr>
          <xdr:cNvSpPr txBox="1"/>
        </xdr:nvSpPr>
        <xdr:spPr>
          <a:xfrm>
            <a:off x="6111240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MO</a:t>
            </a:r>
          </a:p>
        </xdr:txBody>
      </xdr:sp>
    </xdr:grpSp>
    <xdr:clientData/>
  </xdr:twoCellAnchor>
  <xdr:twoCellAnchor>
    <xdr:from>
      <xdr:col>2</xdr:col>
      <xdr:colOff>914399</xdr:colOff>
      <xdr:row>0</xdr:row>
      <xdr:rowOff>0</xdr:rowOff>
    </xdr:from>
    <xdr:to>
      <xdr:col>2</xdr:col>
      <xdr:colOff>1866705</xdr:colOff>
      <xdr:row>0</xdr:row>
      <xdr:rowOff>749529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0D168840-75B7-4B6A-82EC-78F3F347DA90}"/>
            </a:ext>
          </a:extLst>
        </xdr:cNvPr>
        <xdr:cNvGrpSpPr/>
      </xdr:nvGrpSpPr>
      <xdr:grpSpPr>
        <a:xfrm>
          <a:off x="3973285" y="0"/>
          <a:ext cx="952306" cy="749529"/>
          <a:chOff x="6905625" y="4716915"/>
          <a:chExt cx="992505" cy="799012"/>
        </a:xfrm>
      </xdr:grpSpPr>
      <xdr:pic macro="[0]!Groupe41_Cliquer">
        <xdr:nvPicPr>
          <xdr:cNvPr id="41" name="Graphique 40" descr="Tracteur avec un remplissage uni">
            <a:extLst>
              <a:ext uri="{FF2B5EF4-FFF2-40B4-BE49-F238E27FC236}">
                <a16:creationId xmlns:a16="http://schemas.microsoft.com/office/drawing/2014/main" id="{5B22308B-E060-B9CB-64D8-E11E7BE304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80353" y="4716915"/>
            <a:ext cx="496139" cy="542989"/>
          </a:xfrm>
          <a:prstGeom prst="rect">
            <a:avLst/>
          </a:prstGeom>
        </xdr:spPr>
      </xdr:pic>
      <xdr:sp macro="[0]!Groupe41_Cliquer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331BA44-4E6A-830D-9CE4-C1B1D3E69074}"/>
              </a:ext>
            </a:extLst>
          </xdr:cNvPr>
          <xdr:cNvSpPr txBox="1"/>
        </xdr:nvSpPr>
        <xdr:spPr>
          <a:xfrm>
            <a:off x="6905625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MATERIEL</a:t>
            </a:r>
          </a:p>
        </xdr:txBody>
      </xdr:sp>
    </xdr:grpSp>
    <xdr:clientData/>
  </xdr:twoCellAnchor>
  <xdr:twoCellAnchor>
    <xdr:from>
      <xdr:col>2</xdr:col>
      <xdr:colOff>1790697</xdr:colOff>
      <xdr:row>0</xdr:row>
      <xdr:rowOff>17222</xdr:rowOff>
    </xdr:from>
    <xdr:to>
      <xdr:col>2</xdr:col>
      <xdr:colOff>2674928</xdr:colOff>
      <xdr:row>0</xdr:row>
      <xdr:rowOff>748644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BB9E0B0B-04AB-4B03-B847-60C1FF1A3F5A}"/>
            </a:ext>
          </a:extLst>
        </xdr:cNvPr>
        <xdr:cNvGrpSpPr/>
      </xdr:nvGrpSpPr>
      <xdr:grpSpPr>
        <a:xfrm>
          <a:off x="4849583" y="17222"/>
          <a:ext cx="884231" cy="731422"/>
          <a:chOff x="7750330" y="4720799"/>
          <a:chExt cx="991952" cy="793369"/>
        </a:xfrm>
      </xdr:grpSpPr>
      <xdr:pic macro="[0]!Groupe42_Cliquer">
        <xdr:nvPicPr>
          <xdr:cNvPr id="44" name="Graphique 43" descr="Potion avec un remplissage uni">
            <a:extLst>
              <a:ext uri="{FF2B5EF4-FFF2-40B4-BE49-F238E27FC236}">
                <a16:creationId xmlns:a16="http://schemas.microsoft.com/office/drawing/2014/main" id="{41D7F863-CF9E-E363-2B05-50DAA49098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7982900" y="4720799"/>
            <a:ext cx="509890" cy="539030"/>
          </a:xfrm>
          <a:prstGeom prst="rect">
            <a:avLst/>
          </a:prstGeom>
        </xdr:spPr>
      </xdr:pic>
      <xdr:sp macro="[0]!Groupe42_Cliquer" textlink="">
        <xdr:nvSpPr>
          <xdr:cNvPr id="45" name="ZoneTexte 44">
            <a:extLst>
              <a:ext uri="{FF2B5EF4-FFF2-40B4-BE49-F238E27FC236}">
                <a16:creationId xmlns:a16="http://schemas.microsoft.com/office/drawing/2014/main" id="{C2201CBE-8EA4-AC51-663D-C1681C0F8916}"/>
              </a:ext>
            </a:extLst>
          </xdr:cNvPr>
          <xdr:cNvSpPr txBox="1"/>
        </xdr:nvSpPr>
        <xdr:spPr>
          <a:xfrm>
            <a:off x="7750330" y="5153156"/>
            <a:ext cx="991952" cy="3610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INTRANT</a:t>
            </a:r>
          </a:p>
        </xdr:txBody>
      </xdr:sp>
    </xdr:grpSp>
    <xdr:clientData/>
  </xdr:twoCellAnchor>
  <xdr:twoCellAnchor>
    <xdr:from>
      <xdr:col>2</xdr:col>
      <xdr:colOff>2478404</xdr:colOff>
      <xdr:row>0</xdr:row>
      <xdr:rowOff>17826</xdr:rowOff>
    </xdr:from>
    <xdr:to>
      <xdr:col>3</xdr:col>
      <xdr:colOff>641985</xdr:colOff>
      <xdr:row>0</xdr:row>
      <xdr:rowOff>750594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A68F32CD-3DBA-4EC8-A33D-FC2514C9B6F0}"/>
            </a:ext>
          </a:extLst>
        </xdr:cNvPr>
        <xdr:cNvGrpSpPr/>
      </xdr:nvGrpSpPr>
      <xdr:grpSpPr>
        <a:xfrm>
          <a:off x="5537290" y="17826"/>
          <a:ext cx="1146266" cy="732768"/>
          <a:chOff x="8469629" y="4725216"/>
          <a:chExt cx="1211580" cy="790711"/>
        </a:xfrm>
      </xdr:grpSpPr>
      <xdr:pic macro="[0]!Groupe43_Cliquer">
        <xdr:nvPicPr>
          <xdr:cNvPr id="47" name="Graphique 46" descr="Calculatrice avec un remplissage uni">
            <a:extLst>
              <a:ext uri="{FF2B5EF4-FFF2-40B4-BE49-F238E27FC236}">
                <a16:creationId xmlns:a16="http://schemas.microsoft.com/office/drawing/2014/main" id="{C71F947D-559B-D645-E827-8DFD0B138F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8787766" y="4725216"/>
            <a:ext cx="548639" cy="526386"/>
          </a:xfrm>
          <a:prstGeom prst="rect">
            <a:avLst/>
          </a:prstGeom>
        </xdr:spPr>
      </xdr:pic>
      <xdr:sp macro="[0]!Groupe43_Cliqu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0C0B6FD7-F313-F1DC-2A6A-7DB98D03E6B4}"/>
              </a:ext>
            </a:extLst>
          </xdr:cNvPr>
          <xdr:cNvSpPr txBox="1"/>
        </xdr:nvSpPr>
        <xdr:spPr>
          <a:xfrm>
            <a:off x="8469629" y="5153977"/>
            <a:ext cx="12115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DEBIT</a:t>
            </a:r>
            <a:r>
              <a:rPr lang="fr-FR" sz="1100" b="1" baseline="0">
                <a:solidFill>
                  <a:schemeClr val="bg1"/>
                </a:solidFill>
              </a:rPr>
              <a:t> CHANTIER</a:t>
            </a:r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18508</xdr:rowOff>
    </xdr:from>
    <xdr:to>
      <xdr:col>0</xdr:col>
      <xdr:colOff>685800</xdr:colOff>
      <xdr:row>0</xdr:row>
      <xdr:rowOff>744058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CF4A5830-BFF9-4B62-928C-AAA9C5BFD2D7}"/>
            </a:ext>
          </a:extLst>
        </xdr:cNvPr>
        <xdr:cNvGrpSpPr/>
      </xdr:nvGrpSpPr>
      <xdr:grpSpPr>
        <a:xfrm>
          <a:off x="0" y="18508"/>
          <a:ext cx="685800" cy="725550"/>
          <a:chOff x="20956" y="16737"/>
          <a:chExt cx="685800" cy="725550"/>
        </a:xfrm>
      </xdr:grpSpPr>
      <xdr:pic macro="[0]!Groupe36_Cliquer">
        <xdr:nvPicPr>
          <xdr:cNvPr id="50" name="Graphique 49" descr="Logement avec un remplissage uni">
            <a:extLst>
              <a:ext uri="{FF2B5EF4-FFF2-40B4-BE49-F238E27FC236}">
                <a16:creationId xmlns:a16="http://schemas.microsoft.com/office/drawing/2014/main" id="{BB6042D4-CD7C-2F62-4B00-490AEDDBE2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4104" y="16737"/>
            <a:ext cx="444128" cy="494723"/>
          </a:xfrm>
          <a:prstGeom prst="rect">
            <a:avLst/>
          </a:prstGeom>
        </xdr:spPr>
      </xdr:pic>
      <xdr:sp macro="[0]!Groupe36_Cliquer" textlink="">
        <xdr:nvSpPr>
          <xdr:cNvPr id="51" name="ZoneTexte 50">
            <a:extLst>
              <a:ext uri="{FF2B5EF4-FFF2-40B4-BE49-F238E27FC236}">
                <a16:creationId xmlns:a16="http://schemas.microsoft.com/office/drawing/2014/main" id="{67E3170A-08C2-8B56-7204-289ADBC342C5}"/>
              </a:ext>
            </a:extLst>
          </xdr:cNvPr>
          <xdr:cNvSpPr txBox="1"/>
        </xdr:nvSpPr>
        <xdr:spPr>
          <a:xfrm>
            <a:off x="20956" y="407204"/>
            <a:ext cx="685800" cy="335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ACCUEIL</a:t>
            </a:r>
          </a:p>
        </xdr:txBody>
      </xdr:sp>
    </xdr:grpSp>
    <xdr:clientData/>
  </xdr:twoCellAnchor>
  <xdr:twoCellAnchor>
    <xdr:from>
      <xdr:col>0</xdr:col>
      <xdr:colOff>653413</xdr:colOff>
      <xdr:row>0</xdr:row>
      <xdr:rowOff>18760</xdr:rowOff>
    </xdr:from>
    <xdr:to>
      <xdr:col>1</xdr:col>
      <xdr:colOff>622933</xdr:colOff>
      <xdr:row>0</xdr:row>
      <xdr:rowOff>743048</xdr:rowOff>
    </xdr:to>
    <xdr:grpSp>
      <xdr:nvGrpSpPr>
        <xdr:cNvPr id="52" name="Groupe 51">
          <a:extLst>
            <a:ext uri="{FF2B5EF4-FFF2-40B4-BE49-F238E27FC236}">
              <a16:creationId xmlns:a16="http://schemas.microsoft.com/office/drawing/2014/main" id="{E4A37307-E021-4A6A-9BD8-15CFE298CDFE}"/>
            </a:ext>
          </a:extLst>
        </xdr:cNvPr>
        <xdr:cNvGrpSpPr/>
      </xdr:nvGrpSpPr>
      <xdr:grpSpPr>
        <a:xfrm>
          <a:off x="653413" y="18760"/>
          <a:ext cx="990600" cy="724288"/>
          <a:chOff x="3581223" y="4722340"/>
          <a:chExt cx="1047699" cy="803969"/>
        </a:xfrm>
      </xdr:grpSpPr>
      <xdr:pic macro="[0]!Groupe37_Cliquer">
        <xdr:nvPicPr>
          <xdr:cNvPr id="53" name="Graphique 52" descr="Engrenage avec un remplissage uni">
            <a:extLst>
              <a:ext uri="{FF2B5EF4-FFF2-40B4-BE49-F238E27FC236}">
                <a16:creationId xmlns:a16="http://schemas.microsoft.com/office/drawing/2014/main" id="{A42B432D-BC20-2AAF-12C6-47DD57FAF8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46209" y="4722340"/>
            <a:ext cx="535617" cy="535948"/>
          </a:xfrm>
          <a:prstGeom prst="rect">
            <a:avLst/>
          </a:prstGeom>
        </xdr:spPr>
      </xdr:pic>
      <xdr:sp macro="[0]!Groupe37_Cliquer" textlink="">
        <xdr:nvSpPr>
          <xdr:cNvPr id="54" name="ZoneTexte 53">
            <a:extLst>
              <a:ext uri="{FF2B5EF4-FFF2-40B4-BE49-F238E27FC236}">
                <a16:creationId xmlns:a16="http://schemas.microsoft.com/office/drawing/2014/main" id="{2394C122-210D-BFE0-CC92-8BA099B26595}"/>
              </a:ext>
            </a:extLst>
          </xdr:cNvPr>
          <xdr:cNvSpPr txBox="1"/>
        </xdr:nvSpPr>
        <xdr:spPr>
          <a:xfrm>
            <a:off x="3581223" y="5164359"/>
            <a:ext cx="1047699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PARAMETRES</a:t>
            </a:r>
          </a:p>
        </xdr:txBody>
      </xdr:sp>
    </xdr:grpSp>
    <xdr:clientData/>
  </xdr:twoCellAnchor>
  <xdr:twoCellAnchor>
    <xdr:from>
      <xdr:col>1</xdr:col>
      <xdr:colOff>523874</xdr:colOff>
      <xdr:row>0</xdr:row>
      <xdr:rowOff>17146</xdr:rowOff>
    </xdr:from>
    <xdr:to>
      <xdr:col>2</xdr:col>
      <xdr:colOff>281411</xdr:colOff>
      <xdr:row>0</xdr:row>
      <xdr:rowOff>750540</xdr:rowOff>
    </xdr:to>
    <xdr:grpSp>
      <xdr:nvGrpSpPr>
        <xdr:cNvPr id="55" name="Groupe 54">
          <a:extLst>
            <a:ext uri="{FF2B5EF4-FFF2-40B4-BE49-F238E27FC236}">
              <a16:creationId xmlns:a16="http://schemas.microsoft.com/office/drawing/2014/main" id="{2AEF7AD2-B204-4857-B47A-53B945AA2DC0}"/>
            </a:ext>
          </a:extLst>
        </xdr:cNvPr>
        <xdr:cNvGrpSpPr/>
      </xdr:nvGrpSpPr>
      <xdr:grpSpPr>
        <a:xfrm>
          <a:off x="1544954" y="17146"/>
          <a:ext cx="915777" cy="733394"/>
          <a:chOff x="4474845" y="4713105"/>
          <a:chExt cx="982980" cy="799012"/>
        </a:xfrm>
      </xdr:grpSpPr>
      <xdr:pic macro="[0]!Groupe38_Cliquer">
        <xdr:nvPicPr>
          <xdr:cNvPr id="56" name="Graphique 55" descr="Clap avec un remplissage uni">
            <a:extLst>
              <a:ext uri="{FF2B5EF4-FFF2-40B4-BE49-F238E27FC236}">
                <a16:creationId xmlns:a16="http://schemas.microsoft.com/office/drawing/2014/main" id="{6A9C7192-CEFE-87D7-E6D5-DE19CAF838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678709" y="4713105"/>
            <a:ext cx="531905" cy="542989"/>
          </a:xfrm>
          <a:prstGeom prst="rect">
            <a:avLst/>
          </a:prstGeom>
        </xdr:spPr>
      </xdr:pic>
      <xdr:sp macro="[0]!Groupe38_Cliquer" textlink="">
        <xdr:nvSpPr>
          <xdr:cNvPr id="57" name="ZoneTexte 56">
            <a:extLst>
              <a:ext uri="{FF2B5EF4-FFF2-40B4-BE49-F238E27FC236}">
                <a16:creationId xmlns:a16="http://schemas.microsoft.com/office/drawing/2014/main" id="{5FEEA1C3-9153-7F8E-031C-809048DB08F6}"/>
              </a:ext>
            </a:extLst>
          </xdr:cNvPr>
          <xdr:cNvSpPr txBox="1"/>
        </xdr:nvSpPr>
        <xdr:spPr>
          <a:xfrm>
            <a:off x="4474845" y="5150167"/>
            <a:ext cx="9829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SCENARIOS</a:t>
            </a:r>
          </a:p>
        </xdr:txBody>
      </xdr:sp>
    </xdr:grpSp>
    <xdr:clientData/>
  </xdr:twoCellAnchor>
  <xdr:twoCellAnchor>
    <xdr:from>
      <xdr:col>2</xdr:col>
      <xdr:colOff>165734</xdr:colOff>
      <xdr:row>0</xdr:row>
      <xdr:rowOff>404</xdr:rowOff>
    </xdr:from>
    <xdr:to>
      <xdr:col>2</xdr:col>
      <xdr:colOff>1150619</xdr:colOff>
      <xdr:row>0</xdr:row>
      <xdr:rowOff>747657</xdr:rowOff>
    </xdr:to>
    <xdr:grpSp>
      <xdr:nvGrpSpPr>
        <xdr:cNvPr id="58" name="Groupe 57">
          <a:extLst>
            <a:ext uri="{FF2B5EF4-FFF2-40B4-BE49-F238E27FC236}">
              <a16:creationId xmlns:a16="http://schemas.microsoft.com/office/drawing/2014/main" id="{A8718A69-63B1-4D01-A530-42BD9FBCAE9F}"/>
            </a:ext>
          </a:extLst>
        </xdr:cNvPr>
        <xdr:cNvGrpSpPr/>
      </xdr:nvGrpSpPr>
      <xdr:grpSpPr>
        <a:xfrm>
          <a:off x="2345054" y="404"/>
          <a:ext cx="984885" cy="747253"/>
          <a:chOff x="5246768" y="4711603"/>
          <a:chExt cx="1069956" cy="810823"/>
        </a:xfrm>
      </xdr:grpSpPr>
      <xdr:pic macro="[0]!Groupe39_Cliquer">
        <xdr:nvPicPr>
          <xdr:cNvPr id="59" name="Graphique 58" descr="Icône de menu d'hamburger avec un remplissage uni">
            <a:extLst>
              <a:ext uri="{FF2B5EF4-FFF2-40B4-BE49-F238E27FC236}">
                <a16:creationId xmlns:a16="http://schemas.microsoft.com/office/drawing/2014/main" id="{C103D52A-68C4-4E07-D44C-A78A6B9248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507497" y="4711603"/>
            <a:ext cx="539783" cy="545993"/>
          </a:xfrm>
          <a:prstGeom prst="rect">
            <a:avLst/>
          </a:prstGeom>
        </xdr:spPr>
      </xdr:pic>
      <xdr:sp macro="[0]!Groupe39_Cliquer" textlink="">
        <xdr:nvSpPr>
          <xdr:cNvPr id="60" name="ZoneTexte 59">
            <a:extLst>
              <a:ext uri="{FF2B5EF4-FFF2-40B4-BE49-F238E27FC236}">
                <a16:creationId xmlns:a16="http://schemas.microsoft.com/office/drawing/2014/main" id="{09790E22-3F2C-85E6-9E9F-134DBB400800}"/>
              </a:ext>
            </a:extLst>
          </xdr:cNvPr>
          <xdr:cNvSpPr txBox="1"/>
        </xdr:nvSpPr>
        <xdr:spPr>
          <a:xfrm>
            <a:off x="5246768" y="5160475"/>
            <a:ext cx="1069956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OPERATIONS</a:t>
            </a:r>
          </a:p>
        </xdr:txBody>
      </xdr:sp>
    </xdr:grpSp>
    <xdr:clientData/>
  </xdr:twoCellAnchor>
  <xdr:twoCellAnchor>
    <xdr:from>
      <xdr:col>2</xdr:col>
      <xdr:colOff>1042035</xdr:colOff>
      <xdr:row>0</xdr:row>
      <xdr:rowOff>156</xdr:rowOff>
    </xdr:from>
    <xdr:to>
      <xdr:col>4</xdr:col>
      <xdr:colOff>465911</xdr:colOff>
      <xdr:row>0</xdr:row>
      <xdr:rowOff>749542</xdr:rowOff>
    </xdr:to>
    <xdr:grpSp>
      <xdr:nvGrpSpPr>
        <xdr:cNvPr id="61" name="Groupe 60">
          <a:extLst>
            <a:ext uri="{FF2B5EF4-FFF2-40B4-BE49-F238E27FC236}">
              <a16:creationId xmlns:a16="http://schemas.microsoft.com/office/drawing/2014/main" id="{E351B960-7855-41D7-80C5-3AEDC727D9EC}"/>
            </a:ext>
          </a:extLst>
        </xdr:cNvPr>
        <xdr:cNvGrpSpPr/>
      </xdr:nvGrpSpPr>
      <xdr:grpSpPr>
        <a:xfrm>
          <a:off x="3221355" y="156"/>
          <a:ext cx="2319476" cy="749386"/>
          <a:chOff x="6111240" y="4715166"/>
          <a:chExt cx="992505" cy="800761"/>
        </a:xfrm>
      </xdr:grpSpPr>
      <xdr:pic macro="[0]!Groupe40_Cliquer">
        <xdr:nvPicPr>
          <xdr:cNvPr id="62" name="Graphique 61" descr="Homme avec un remplissage uni">
            <a:extLst>
              <a:ext uri="{FF2B5EF4-FFF2-40B4-BE49-F238E27FC236}">
                <a16:creationId xmlns:a16="http://schemas.microsoft.com/office/drawing/2014/main" id="{1550A5BC-F681-770B-1B0E-3E9E53363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340353" y="4715166"/>
            <a:ext cx="533592" cy="538867"/>
          </a:xfrm>
          <a:prstGeom prst="rect">
            <a:avLst/>
          </a:prstGeom>
        </xdr:spPr>
      </xdr:pic>
      <xdr:sp macro="[0]!Groupe40_Cliquer" textlink="">
        <xdr:nvSpPr>
          <xdr:cNvPr id="63" name="ZoneTexte 62">
            <a:extLst>
              <a:ext uri="{FF2B5EF4-FFF2-40B4-BE49-F238E27FC236}">
                <a16:creationId xmlns:a16="http://schemas.microsoft.com/office/drawing/2014/main" id="{26BF5EFB-3C3D-1D69-07BE-A4176563DE1D}"/>
              </a:ext>
            </a:extLst>
          </xdr:cNvPr>
          <xdr:cNvSpPr txBox="1"/>
        </xdr:nvSpPr>
        <xdr:spPr>
          <a:xfrm>
            <a:off x="6111240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MO</a:t>
            </a:r>
          </a:p>
        </xdr:txBody>
      </xdr:sp>
    </xdr:grpSp>
    <xdr:clientData/>
  </xdr:twoCellAnchor>
  <xdr:twoCellAnchor>
    <xdr:from>
      <xdr:col>4</xdr:col>
      <xdr:colOff>352424</xdr:colOff>
      <xdr:row>0</xdr:row>
      <xdr:rowOff>0</xdr:rowOff>
    </xdr:from>
    <xdr:to>
      <xdr:col>5</xdr:col>
      <xdr:colOff>228405</xdr:colOff>
      <xdr:row>0</xdr:row>
      <xdr:rowOff>749529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A8BB1916-EEDD-4E51-BD80-277A57BD4148}"/>
            </a:ext>
          </a:extLst>
        </xdr:cNvPr>
        <xdr:cNvGrpSpPr/>
      </xdr:nvGrpSpPr>
      <xdr:grpSpPr>
        <a:xfrm>
          <a:off x="5427344" y="0"/>
          <a:ext cx="950401" cy="749529"/>
          <a:chOff x="6905625" y="4716915"/>
          <a:chExt cx="992505" cy="799012"/>
        </a:xfrm>
      </xdr:grpSpPr>
      <xdr:pic macro="[0]!Groupe41_Cliquer">
        <xdr:nvPicPr>
          <xdr:cNvPr id="65" name="Graphique 64" descr="Tracteur avec un remplissage uni">
            <a:extLst>
              <a:ext uri="{FF2B5EF4-FFF2-40B4-BE49-F238E27FC236}">
                <a16:creationId xmlns:a16="http://schemas.microsoft.com/office/drawing/2014/main" id="{472F8F5E-D241-CB8B-219B-B388A2A0F0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80353" y="4716915"/>
            <a:ext cx="496139" cy="542989"/>
          </a:xfrm>
          <a:prstGeom prst="rect">
            <a:avLst/>
          </a:prstGeom>
        </xdr:spPr>
      </xdr:pic>
      <xdr:sp macro="[0]!Groupe41_Cliquer" textlink="">
        <xdr:nvSpPr>
          <xdr:cNvPr id="66" name="ZoneTexte 65">
            <a:extLst>
              <a:ext uri="{FF2B5EF4-FFF2-40B4-BE49-F238E27FC236}">
                <a16:creationId xmlns:a16="http://schemas.microsoft.com/office/drawing/2014/main" id="{F237B65E-E81E-A9C7-1643-EDE83E2BE22B}"/>
              </a:ext>
            </a:extLst>
          </xdr:cNvPr>
          <xdr:cNvSpPr txBox="1"/>
        </xdr:nvSpPr>
        <xdr:spPr>
          <a:xfrm>
            <a:off x="6905625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MATERIEL</a:t>
            </a:r>
          </a:p>
        </xdr:txBody>
      </xdr:sp>
    </xdr:grpSp>
    <xdr:clientData/>
  </xdr:twoCellAnchor>
  <xdr:twoCellAnchor>
    <xdr:from>
      <xdr:col>5</xdr:col>
      <xdr:colOff>152397</xdr:colOff>
      <xdr:row>0</xdr:row>
      <xdr:rowOff>17222</xdr:rowOff>
    </xdr:from>
    <xdr:to>
      <xdr:col>5</xdr:col>
      <xdr:colOff>1036628</xdr:colOff>
      <xdr:row>0</xdr:row>
      <xdr:rowOff>748644</xdr:rowOff>
    </xdr:to>
    <xdr:grpSp>
      <xdr:nvGrpSpPr>
        <xdr:cNvPr id="67" name="Groupe 66">
          <a:extLst>
            <a:ext uri="{FF2B5EF4-FFF2-40B4-BE49-F238E27FC236}">
              <a16:creationId xmlns:a16="http://schemas.microsoft.com/office/drawing/2014/main" id="{A089344A-5053-4B5F-A426-CA18754D89BF}"/>
            </a:ext>
          </a:extLst>
        </xdr:cNvPr>
        <xdr:cNvGrpSpPr/>
      </xdr:nvGrpSpPr>
      <xdr:grpSpPr>
        <a:xfrm>
          <a:off x="6301737" y="17222"/>
          <a:ext cx="884231" cy="731422"/>
          <a:chOff x="7750330" y="4720799"/>
          <a:chExt cx="991952" cy="793369"/>
        </a:xfrm>
      </xdr:grpSpPr>
      <xdr:pic macro="[0]!Groupe42_Cliquer">
        <xdr:nvPicPr>
          <xdr:cNvPr id="68" name="Graphique 67" descr="Potion avec un remplissage uni">
            <a:extLst>
              <a:ext uri="{FF2B5EF4-FFF2-40B4-BE49-F238E27FC236}">
                <a16:creationId xmlns:a16="http://schemas.microsoft.com/office/drawing/2014/main" id="{9F2AA21F-52AC-3927-EBA4-31D3F0E51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7982900" y="4720799"/>
            <a:ext cx="509890" cy="539030"/>
          </a:xfrm>
          <a:prstGeom prst="rect">
            <a:avLst/>
          </a:prstGeom>
        </xdr:spPr>
      </xdr:pic>
      <xdr:sp macro="[0]!Groupe42_Cliquer" textlink="">
        <xdr:nvSpPr>
          <xdr:cNvPr id="69" name="ZoneTexte 68">
            <a:extLst>
              <a:ext uri="{FF2B5EF4-FFF2-40B4-BE49-F238E27FC236}">
                <a16:creationId xmlns:a16="http://schemas.microsoft.com/office/drawing/2014/main" id="{7B670476-1882-99B6-4E24-79ABBE996635}"/>
              </a:ext>
            </a:extLst>
          </xdr:cNvPr>
          <xdr:cNvSpPr txBox="1"/>
        </xdr:nvSpPr>
        <xdr:spPr>
          <a:xfrm>
            <a:off x="7750330" y="5153156"/>
            <a:ext cx="991952" cy="3610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INTRANT</a:t>
            </a:r>
          </a:p>
        </xdr:txBody>
      </xdr:sp>
    </xdr:grpSp>
    <xdr:clientData/>
  </xdr:twoCellAnchor>
  <xdr:twoCellAnchor>
    <xdr:from>
      <xdr:col>5</xdr:col>
      <xdr:colOff>840104</xdr:colOff>
      <xdr:row>0</xdr:row>
      <xdr:rowOff>17826</xdr:rowOff>
    </xdr:from>
    <xdr:to>
      <xdr:col>6</xdr:col>
      <xdr:colOff>737235</xdr:colOff>
      <xdr:row>0</xdr:row>
      <xdr:rowOff>750594</xdr:rowOff>
    </xdr:to>
    <xdr:grpSp>
      <xdr:nvGrpSpPr>
        <xdr:cNvPr id="70" name="Groupe 69">
          <a:extLst>
            <a:ext uri="{FF2B5EF4-FFF2-40B4-BE49-F238E27FC236}">
              <a16:creationId xmlns:a16="http://schemas.microsoft.com/office/drawing/2014/main" id="{C6DCB4D4-B660-4B33-924E-11425A789551}"/>
            </a:ext>
          </a:extLst>
        </xdr:cNvPr>
        <xdr:cNvGrpSpPr/>
      </xdr:nvGrpSpPr>
      <xdr:grpSpPr>
        <a:xfrm>
          <a:off x="6989444" y="17826"/>
          <a:ext cx="1154431" cy="732768"/>
          <a:chOff x="8469629" y="4725216"/>
          <a:chExt cx="1211580" cy="790711"/>
        </a:xfrm>
      </xdr:grpSpPr>
      <xdr:pic macro="[0]!Groupe43_Cliquer">
        <xdr:nvPicPr>
          <xdr:cNvPr id="71" name="Graphique 70" descr="Calculatrice avec un remplissage uni">
            <a:extLst>
              <a:ext uri="{FF2B5EF4-FFF2-40B4-BE49-F238E27FC236}">
                <a16:creationId xmlns:a16="http://schemas.microsoft.com/office/drawing/2014/main" id="{FC2277FD-AD24-1D51-1852-4A8530FF4C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8787766" y="4725216"/>
            <a:ext cx="548639" cy="526386"/>
          </a:xfrm>
          <a:prstGeom prst="rect">
            <a:avLst/>
          </a:prstGeom>
        </xdr:spPr>
      </xdr:pic>
      <xdr:sp macro="[0]!Groupe43_Cliquer" textlink="">
        <xdr:nvSpPr>
          <xdr:cNvPr id="72" name="ZoneTexte 71">
            <a:extLst>
              <a:ext uri="{FF2B5EF4-FFF2-40B4-BE49-F238E27FC236}">
                <a16:creationId xmlns:a16="http://schemas.microsoft.com/office/drawing/2014/main" id="{C5347A6B-3170-3807-1F46-AF6B1010D575}"/>
              </a:ext>
            </a:extLst>
          </xdr:cNvPr>
          <xdr:cNvSpPr txBox="1"/>
        </xdr:nvSpPr>
        <xdr:spPr>
          <a:xfrm>
            <a:off x="8469629" y="5153977"/>
            <a:ext cx="12115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DEBIT</a:t>
            </a:r>
            <a:r>
              <a:rPr lang="fr-FR" sz="1100" b="1" baseline="0">
                <a:solidFill>
                  <a:schemeClr val="bg1"/>
                </a:solidFill>
              </a:rPr>
              <a:t> CHANTIER</a:t>
            </a:r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18508</xdr:rowOff>
    </xdr:from>
    <xdr:to>
      <xdr:col>0</xdr:col>
      <xdr:colOff>685800</xdr:colOff>
      <xdr:row>0</xdr:row>
      <xdr:rowOff>744058</xdr:rowOff>
    </xdr:to>
    <xdr:grpSp>
      <xdr:nvGrpSpPr>
        <xdr:cNvPr id="25" name="Groupe 24">
          <a:extLst>
            <a:ext uri="{FF2B5EF4-FFF2-40B4-BE49-F238E27FC236}">
              <a16:creationId xmlns:a16="http://schemas.microsoft.com/office/drawing/2014/main" id="{231B445F-D61D-4DBC-9A0E-DE4887FD0551}"/>
            </a:ext>
          </a:extLst>
        </xdr:cNvPr>
        <xdr:cNvGrpSpPr/>
      </xdr:nvGrpSpPr>
      <xdr:grpSpPr>
        <a:xfrm>
          <a:off x="0" y="18508"/>
          <a:ext cx="685800" cy="725550"/>
          <a:chOff x="20956" y="16737"/>
          <a:chExt cx="685800" cy="725550"/>
        </a:xfrm>
      </xdr:grpSpPr>
      <xdr:pic macro="[0]!Groupe36_Cliquer">
        <xdr:nvPicPr>
          <xdr:cNvPr id="26" name="Graphique 25" descr="Logement avec un remplissage uni">
            <a:extLst>
              <a:ext uri="{FF2B5EF4-FFF2-40B4-BE49-F238E27FC236}">
                <a16:creationId xmlns:a16="http://schemas.microsoft.com/office/drawing/2014/main" id="{19EA46A4-E6BD-1769-7298-4D928D3EA2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4104" y="16737"/>
            <a:ext cx="444128" cy="494723"/>
          </a:xfrm>
          <a:prstGeom prst="rect">
            <a:avLst/>
          </a:prstGeom>
        </xdr:spPr>
      </xdr:pic>
      <xdr:sp macro="[0]!Groupe36_Cliquer" textlink="">
        <xdr:nvSpPr>
          <xdr:cNvPr id="27" name="ZoneTexte 26">
            <a:extLst>
              <a:ext uri="{FF2B5EF4-FFF2-40B4-BE49-F238E27FC236}">
                <a16:creationId xmlns:a16="http://schemas.microsoft.com/office/drawing/2014/main" id="{3AB06EBF-C6F9-F7C1-F068-141EE7010328}"/>
              </a:ext>
            </a:extLst>
          </xdr:cNvPr>
          <xdr:cNvSpPr txBox="1"/>
        </xdr:nvSpPr>
        <xdr:spPr>
          <a:xfrm>
            <a:off x="20956" y="407204"/>
            <a:ext cx="685800" cy="335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ACCUEIL</a:t>
            </a:r>
          </a:p>
        </xdr:txBody>
      </xdr:sp>
    </xdr:grpSp>
    <xdr:clientData/>
  </xdr:twoCellAnchor>
  <xdr:twoCellAnchor>
    <xdr:from>
      <xdr:col>0</xdr:col>
      <xdr:colOff>653413</xdr:colOff>
      <xdr:row>0</xdr:row>
      <xdr:rowOff>18760</xdr:rowOff>
    </xdr:from>
    <xdr:to>
      <xdr:col>1</xdr:col>
      <xdr:colOff>499108</xdr:colOff>
      <xdr:row>0</xdr:row>
      <xdr:rowOff>743048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B4178A78-BCC6-4852-8060-19B089EE3140}"/>
            </a:ext>
          </a:extLst>
        </xdr:cNvPr>
        <xdr:cNvGrpSpPr/>
      </xdr:nvGrpSpPr>
      <xdr:grpSpPr>
        <a:xfrm>
          <a:off x="653413" y="18760"/>
          <a:ext cx="1691428" cy="724288"/>
          <a:chOff x="3581223" y="4722340"/>
          <a:chExt cx="1047699" cy="803969"/>
        </a:xfrm>
      </xdr:grpSpPr>
      <xdr:pic macro="[0]!Groupe37_Cliquer">
        <xdr:nvPicPr>
          <xdr:cNvPr id="29" name="Graphique 28" descr="Engrenage avec un remplissage uni">
            <a:extLst>
              <a:ext uri="{FF2B5EF4-FFF2-40B4-BE49-F238E27FC236}">
                <a16:creationId xmlns:a16="http://schemas.microsoft.com/office/drawing/2014/main" id="{D845833C-5E92-532D-D1F7-AF56842C0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46209" y="4722340"/>
            <a:ext cx="535617" cy="535948"/>
          </a:xfrm>
          <a:prstGeom prst="rect">
            <a:avLst/>
          </a:prstGeom>
        </xdr:spPr>
      </xdr:pic>
      <xdr:sp macro="[0]!Groupe37_Cliquer" textlink="">
        <xdr:nvSpPr>
          <xdr:cNvPr id="30" name="ZoneTexte 29">
            <a:extLst>
              <a:ext uri="{FF2B5EF4-FFF2-40B4-BE49-F238E27FC236}">
                <a16:creationId xmlns:a16="http://schemas.microsoft.com/office/drawing/2014/main" id="{343D1934-0141-B4A8-D374-5F38285BA0B9}"/>
              </a:ext>
            </a:extLst>
          </xdr:cNvPr>
          <xdr:cNvSpPr txBox="1"/>
        </xdr:nvSpPr>
        <xdr:spPr>
          <a:xfrm>
            <a:off x="3581223" y="5164359"/>
            <a:ext cx="1047699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PARAMETRES</a:t>
            </a:r>
          </a:p>
        </xdr:txBody>
      </xdr:sp>
    </xdr:grpSp>
    <xdr:clientData/>
  </xdr:twoCellAnchor>
  <xdr:twoCellAnchor>
    <xdr:from>
      <xdr:col>1</xdr:col>
      <xdr:colOff>400049</xdr:colOff>
      <xdr:row>0</xdr:row>
      <xdr:rowOff>17146</xdr:rowOff>
    </xdr:from>
    <xdr:to>
      <xdr:col>1</xdr:col>
      <xdr:colOff>1319636</xdr:colOff>
      <xdr:row>0</xdr:row>
      <xdr:rowOff>750540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C904389C-B1E7-4A01-89F9-B4BB49CA2290}"/>
            </a:ext>
          </a:extLst>
        </xdr:cNvPr>
        <xdr:cNvGrpSpPr/>
      </xdr:nvGrpSpPr>
      <xdr:grpSpPr>
        <a:xfrm>
          <a:off x="2245782" y="17146"/>
          <a:ext cx="919587" cy="733394"/>
          <a:chOff x="4474845" y="4713105"/>
          <a:chExt cx="982980" cy="799012"/>
        </a:xfrm>
      </xdr:grpSpPr>
      <xdr:pic macro="[0]!Groupe38_Cliquer">
        <xdr:nvPicPr>
          <xdr:cNvPr id="32" name="Graphique 31" descr="Clap avec un remplissage uni">
            <a:extLst>
              <a:ext uri="{FF2B5EF4-FFF2-40B4-BE49-F238E27FC236}">
                <a16:creationId xmlns:a16="http://schemas.microsoft.com/office/drawing/2014/main" id="{8B9B4567-EC72-90DE-0D70-CF79886673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678709" y="4713105"/>
            <a:ext cx="531905" cy="542989"/>
          </a:xfrm>
          <a:prstGeom prst="rect">
            <a:avLst/>
          </a:prstGeom>
        </xdr:spPr>
      </xdr:pic>
      <xdr:sp macro="[0]!Groupe38_Cliquer" textlink="">
        <xdr:nvSpPr>
          <xdr:cNvPr id="33" name="ZoneTexte 32">
            <a:extLst>
              <a:ext uri="{FF2B5EF4-FFF2-40B4-BE49-F238E27FC236}">
                <a16:creationId xmlns:a16="http://schemas.microsoft.com/office/drawing/2014/main" id="{9C9C1577-F0FF-3534-001E-23DC0B3C4AA8}"/>
              </a:ext>
            </a:extLst>
          </xdr:cNvPr>
          <xdr:cNvSpPr txBox="1"/>
        </xdr:nvSpPr>
        <xdr:spPr>
          <a:xfrm>
            <a:off x="4474845" y="5150167"/>
            <a:ext cx="9829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SCENARIOS</a:t>
            </a:r>
          </a:p>
        </xdr:txBody>
      </xdr:sp>
    </xdr:grpSp>
    <xdr:clientData/>
  </xdr:twoCellAnchor>
  <xdr:twoCellAnchor>
    <xdr:from>
      <xdr:col>1</xdr:col>
      <xdr:colOff>1203959</xdr:colOff>
      <xdr:row>0</xdr:row>
      <xdr:rowOff>404</xdr:rowOff>
    </xdr:from>
    <xdr:to>
      <xdr:col>2</xdr:col>
      <xdr:colOff>112394</xdr:colOff>
      <xdr:row>0</xdr:row>
      <xdr:rowOff>747657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2B5E53B4-B07D-4E45-BF57-9F042045F846}"/>
            </a:ext>
          </a:extLst>
        </xdr:cNvPr>
        <xdr:cNvGrpSpPr/>
      </xdr:nvGrpSpPr>
      <xdr:grpSpPr>
        <a:xfrm>
          <a:off x="3049692" y="404"/>
          <a:ext cx="940435" cy="747253"/>
          <a:chOff x="5246768" y="4711603"/>
          <a:chExt cx="1069956" cy="810823"/>
        </a:xfrm>
      </xdr:grpSpPr>
      <xdr:pic macro="[0]!Groupe39_Cliquer">
        <xdr:nvPicPr>
          <xdr:cNvPr id="35" name="Graphique 34" descr="Icône de menu d'hamburger avec un remplissage uni">
            <a:extLst>
              <a:ext uri="{FF2B5EF4-FFF2-40B4-BE49-F238E27FC236}">
                <a16:creationId xmlns:a16="http://schemas.microsoft.com/office/drawing/2014/main" id="{6FFBAA39-DED0-F810-53B8-C6909A4B5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507497" y="4711603"/>
            <a:ext cx="539783" cy="545993"/>
          </a:xfrm>
          <a:prstGeom prst="rect">
            <a:avLst/>
          </a:prstGeom>
        </xdr:spPr>
      </xdr:pic>
      <xdr:sp macro="[0]!Groupe39_Cliquer" textlink="">
        <xdr:nvSpPr>
          <xdr:cNvPr id="36" name="ZoneTexte 35">
            <a:extLst>
              <a:ext uri="{FF2B5EF4-FFF2-40B4-BE49-F238E27FC236}">
                <a16:creationId xmlns:a16="http://schemas.microsoft.com/office/drawing/2014/main" id="{931F52CE-7F14-7131-C13B-4D79A5E8113B}"/>
              </a:ext>
            </a:extLst>
          </xdr:cNvPr>
          <xdr:cNvSpPr txBox="1"/>
        </xdr:nvSpPr>
        <xdr:spPr>
          <a:xfrm>
            <a:off x="5246768" y="5160475"/>
            <a:ext cx="1069956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OPERATIONS</a:t>
            </a:r>
          </a:p>
        </xdr:txBody>
      </xdr:sp>
    </xdr:grpSp>
    <xdr:clientData/>
  </xdr:twoCellAnchor>
  <xdr:twoCellAnchor>
    <xdr:from>
      <xdr:col>2</xdr:col>
      <xdr:colOff>3810</xdr:colOff>
      <xdr:row>0</xdr:row>
      <xdr:rowOff>156</xdr:rowOff>
    </xdr:from>
    <xdr:to>
      <xdr:col>2</xdr:col>
      <xdr:colOff>875486</xdr:colOff>
      <xdr:row>0</xdr:row>
      <xdr:rowOff>749542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C0CE7D85-00AC-4F12-A03B-851989333B79}"/>
            </a:ext>
          </a:extLst>
        </xdr:cNvPr>
        <xdr:cNvGrpSpPr/>
      </xdr:nvGrpSpPr>
      <xdr:grpSpPr>
        <a:xfrm>
          <a:off x="3881543" y="156"/>
          <a:ext cx="871676" cy="749386"/>
          <a:chOff x="6111240" y="4715166"/>
          <a:chExt cx="992505" cy="800761"/>
        </a:xfrm>
      </xdr:grpSpPr>
      <xdr:pic macro="[0]!Groupe40_Cliquer">
        <xdr:nvPicPr>
          <xdr:cNvPr id="38" name="Graphique 37" descr="Homme avec un remplissage uni">
            <a:extLst>
              <a:ext uri="{FF2B5EF4-FFF2-40B4-BE49-F238E27FC236}">
                <a16:creationId xmlns:a16="http://schemas.microsoft.com/office/drawing/2014/main" id="{31A05A93-A4B1-314E-2EA5-A89C61D389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340353" y="4715166"/>
            <a:ext cx="533592" cy="538867"/>
          </a:xfrm>
          <a:prstGeom prst="rect">
            <a:avLst/>
          </a:prstGeom>
        </xdr:spPr>
      </xdr:pic>
      <xdr:sp macro="[0]!Groupe40_Cliquer" textlink="">
        <xdr:nvSpPr>
          <xdr:cNvPr id="39" name="ZoneTexte 38">
            <a:extLst>
              <a:ext uri="{FF2B5EF4-FFF2-40B4-BE49-F238E27FC236}">
                <a16:creationId xmlns:a16="http://schemas.microsoft.com/office/drawing/2014/main" id="{97D03B0A-4C79-A2E8-0F7D-F16D902B81BB}"/>
              </a:ext>
            </a:extLst>
          </xdr:cNvPr>
          <xdr:cNvSpPr txBox="1"/>
        </xdr:nvSpPr>
        <xdr:spPr>
          <a:xfrm>
            <a:off x="6111240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MO</a:t>
            </a:r>
          </a:p>
        </xdr:txBody>
      </xdr:sp>
    </xdr:grpSp>
    <xdr:clientData/>
  </xdr:twoCellAnchor>
  <xdr:twoCellAnchor>
    <xdr:from>
      <xdr:col>2</xdr:col>
      <xdr:colOff>761999</xdr:colOff>
      <xdr:row>0</xdr:row>
      <xdr:rowOff>0</xdr:rowOff>
    </xdr:from>
    <xdr:to>
      <xdr:col>2</xdr:col>
      <xdr:colOff>1714305</xdr:colOff>
      <xdr:row>0</xdr:row>
      <xdr:rowOff>749529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53CE49E0-9DA3-4CA0-863F-29E1F0D99222}"/>
            </a:ext>
          </a:extLst>
        </xdr:cNvPr>
        <xdr:cNvGrpSpPr/>
      </xdr:nvGrpSpPr>
      <xdr:grpSpPr>
        <a:xfrm>
          <a:off x="4639732" y="0"/>
          <a:ext cx="952306" cy="749529"/>
          <a:chOff x="6905625" y="4716915"/>
          <a:chExt cx="992505" cy="799012"/>
        </a:xfrm>
      </xdr:grpSpPr>
      <xdr:pic macro="[0]!Groupe41_Cliquer">
        <xdr:nvPicPr>
          <xdr:cNvPr id="41" name="Graphique 40" descr="Tracteur avec un remplissage uni">
            <a:extLst>
              <a:ext uri="{FF2B5EF4-FFF2-40B4-BE49-F238E27FC236}">
                <a16:creationId xmlns:a16="http://schemas.microsoft.com/office/drawing/2014/main" id="{6D22C555-E933-5EEB-8BC0-A71F96B21A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80353" y="4716915"/>
            <a:ext cx="496139" cy="542989"/>
          </a:xfrm>
          <a:prstGeom prst="rect">
            <a:avLst/>
          </a:prstGeom>
        </xdr:spPr>
      </xdr:pic>
      <xdr:sp macro="[0]!Groupe41_Cliquer" textlink="">
        <xdr:nvSpPr>
          <xdr:cNvPr id="42" name="ZoneTexte 41">
            <a:extLst>
              <a:ext uri="{FF2B5EF4-FFF2-40B4-BE49-F238E27FC236}">
                <a16:creationId xmlns:a16="http://schemas.microsoft.com/office/drawing/2014/main" id="{302189A2-9AF9-C912-AC60-25387F2522EE}"/>
              </a:ext>
            </a:extLst>
          </xdr:cNvPr>
          <xdr:cNvSpPr txBox="1"/>
        </xdr:nvSpPr>
        <xdr:spPr>
          <a:xfrm>
            <a:off x="6905625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MATERIEL</a:t>
            </a:r>
          </a:p>
        </xdr:txBody>
      </xdr:sp>
    </xdr:grpSp>
    <xdr:clientData/>
  </xdr:twoCellAnchor>
  <xdr:twoCellAnchor>
    <xdr:from>
      <xdr:col>2</xdr:col>
      <xdr:colOff>1638297</xdr:colOff>
      <xdr:row>0</xdr:row>
      <xdr:rowOff>17222</xdr:rowOff>
    </xdr:from>
    <xdr:to>
      <xdr:col>3</xdr:col>
      <xdr:colOff>446078</xdr:colOff>
      <xdr:row>0</xdr:row>
      <xdr:rowOff>748644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EAFA59C5-C011-4A26-BD1F-2CFE00B99065}"/>
            </a:ext>
          </a:extLst>
        </xdr:cNvPr>
        <xdr:cNvGrpSpPr/>
      </xdr:nvGrpSpPr>
      <xdr:grpSpPr>
        <a:xfrm>
          <a:off x="5516030" y="17222"/>
          <a:ext cx="645048" cy="731422"/>
          <a:chOff x="7750330" y="4720799"/>
          <a:chExt cx="991952" cy="793369"/>
        </a:xfrm>
      </xdr:grpSpPr>
      <xdr:pic macro="[0]!Groupe42_Cliquer">
        <xdr:nvPicPr>
          <xdr:cNvPr id="44" name="Graphique 43" descr="Potion avec un remplissage uni">
            <a:extLst>
              <a:ext uri="{FF2B5EF4-FFF2-40B4-BE49-F238E27FC236}">
                <a16:creationId xmlns:a16="http://schemas.microsoft.com/office/drawing/2014/main" id="{9F840973-DE96-B415-9741-6BA6BE027E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7982900" y="4720799"/>
            <a:ext cx="509890" cy="539030"/>
          </a:xfrm>
          <a:prstGeom prst="rect">
            <a:avLst/>
          </a:prstGeom>
        </xdr:spPr>
      </xdr:pic>
      <xdr:sp macro="[0]!Groupe42_Cliquer" textlink="">
        <xdr:nvSpPr>
          <xdr:cNvPr id="45" name="ZoneTexte 44">
            <a:extLst>
              <a:ext uri="{FF2B5EF4-FFF2-40B4-BE49-F238E27FC236}">
                <a16:creationId xmlns:a16="http://schemas.microsoft.com/office/drawing/2014/main" id="{F8B853B3-34D8-0E23-20CA-EE6CB60A75AC}"/>
              </a:ext>
            </a:extLst>
          </xdr:cNvPr>
          <xdr:cNvSpPr txBox="1"/>
        </xdr:nvSpPr>
        <xdr:spPr>
          <a:xfrm>
            <a:off x="7750330" y="5153156"/>
            <a:ext cx="991952" cy="3610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INTRANT</a:t>
            </a:r>
          </a:p>
        </xdr:txBody>
      </xdr:sp>
    </xdr:grpSp>
    <xdr:clientData/>
  </xdr:twoCellAnchor>
  <xdr:twoCellAnchor>
    <xdr:from>
      <xdr:col>3</xdr:col>
      <xdr:colOff>249554</xdr:colOff>
      <xdr:row>0</xdr:row>
      <xdr:rowOff>17826</xdr:rowOff>
    </xdr:from>
    <xdr:to>
      <xdr:col>3</xdr:col>
      <xdr:colOff>1403985</xdr:colOff>
      <xdr:row>0</xdr:row>
      <xdr:rowOff>750594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025F7E96-2095-44B4-8705-CBD79E9763DA}"/>
            </a:ext>
          </a:extLst>
        </xdr:cNvPr>
        <xdr:cNvGrpSpPr/>
      </xdr:nvGrpSpPr>
      <xdr:grpSpPr>
        <a:xfrm>
          <a:off x="5964554" y="17826"/>
          <a:ext cx="857251" cy="732768"/>
          <a:chOff x="8469629" y="4725216"/>
          <a:chExt cx="1211580" cy="790711"/>
        </a:xfrm>
      </xdr:grpSpPr>
      <xdr:pic macro="[0]!Groupe43_Cliquer">
        <xdr:nvPicPr>
          <xdr:cNvPr id="47" name="Graphique 46" descr="Calculatrice avec un remplissage uni">
            <a:extLst>
              <a:ext uri="{FF2B5EF4-FFF2-40B4-BE49-F238E27FC236}">
                <a16:creationId xmlns:a16="http://schemas.microsoft.com/office/drawing/2014/main" id="{9830F565-D35E-A1AF-3421-C7EDF4A532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8787766" y="4725216"/>
            <a:ext cx="548639" cy="526386"/>
          </a:xfrm>
          <a:prstGeom prst="rect">
            <a:avLst/>
          </a:prstGeom>
        </xdr:spPr>
      </xdr:pic>
      <xdr:sp macro="[0]!Groupe43_Cliquer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AFC0123-E0D0-1BE0-E98D-6D5E6E02861B}"/>
              </a:ext>
            </a:extLst>
          </xdr:cNvPr>
          <xdr:cNvSpPr txBox="1"/>
        </xdr:nvSpPr>
        <xdr:spPr>
          <a:xfrm>
            <a:off x="8469629" y="5153977"/>
            <a:ext cx="12115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DEBIT</a:t>
            </a:r>
            <a:r>
              <a:rPr lang="fr-FR" sz="1100" b="1" baseline="0">
                <a:solidFill>
                  <a:schemeClr val="bg1"/>
                </a:solidFill>
              </a:rPr>
              <a:t> CHANTIER</a:t>
            </a:r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148590</xdr:colOff>
      <xdr:row>10</xdr:row>
      <xdr:rowOff>129540</xdr:rowOff>
    </xdr:from>
    <xdr:to>
      <xdr:col>6</xdr:col>
      <xdr:colOff>640080</xdr:colOff>
      <xdr:row>31</xdr:row>
      <xdr:rowOff>34290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A61BB43-CFE6-E3C6-26EA-CF95B5A7F1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18508</xdr:rowOff>
    </xdr:from>
    <xdr:to>
      <xdr:col>0</xdr:col>
      <xdr:colOff>685800</xdr:colOff>
      <xdr:row>0</xdr:row>
      <xdr:rowOff>744058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C656E98E-A5F8-49AC-AAF5-909DCAA0B41A}"/>
            </a:ext>
          </a:extLst>
        </xdr:cNvPr>
        <xdr:cNvGrpSpPr/>
      </xdr:nvGrpSpPr>
      <xdr:grpSpPr>
        <a:xfrm>
          <a:off x="0" y="18508"/>
          <a:ext cx="685800" cy="725550"/>
          <a:chOff x="20956" y="16737"/>
          <a:chExt cx="685800" cy="725550"/>
        </a:xfrm>
      </xdr:grpSpPr>
      <xdr:pic macro="[0]!Groupe36_Cliquer">
        <xdr:nvPicPr>
          <xdr:cNvPr id="27" name="Graphique 26" descr="Logement avec un remplissage uni">
            <a:extLst>
              <a:ext uri="{FF2B5EF4-FFF2-40B4-BE49-F238E27FC236}">
                <a16:creationId xmlns:a16="http://schemas.microsoft.com/office/drawing/2014/main" id="{396670A0-B974-8AE0-FAFC-E1F4AC785C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44104" y="16737"/>
            <a:ext cx="444128" cy="494723"/>
          </a:xfrm>
          <a:prstGeom prst="rect">
            <a:avLst/>
          </a:prstGeom>
        </xdr:spPr>
      </xdr:pic>
      <xdr:sp macro="[0]!Groupe36_Cliquer" textlink="">
        <xdr:nvSpPr>
          <xdr:cNvPr id="28" name="ZoneTexte 27">
            <a:extLst>
              <a:ext uri="{FF2B5EF4-FFF2-40B4-BE49-F238E27FC236}">
                <a16:creationId xmlns:a16="http://schemas.microsoft.com/office/drawing/2014/main" id="{7D3EFA28-F0BF-F124-1444-657E056A80D2}"/>
              </a:ext>
            </a:extLst>
          </xdr:cNvPr>
          <xdr:cNvSpPr txBox="1"/>
        </xdr:nvSpPr>
        <xdr:spPr>
          <a:xfrm>
            <a:off x="20956" y="407204"/>
            <a:ext cx="685800" cy="335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ACCUEIL</a:t>
            </a:r>
          </a:p>
        </xdr:txBody>
      </xdr:sp>
    </xdr:grpSp>
    <xdr:clientData/>
  </xdr:twoCellAnchor>
  <xdr:twoCellAnchor>
    <xdr:from>
      <xdr:col>0</xdr:col>
      <xdr:colOff>653413</xdr:colOff>
      <xdr:row>0</xdr:row>
      <xdr:rowOff>18760</xdr:rowOff>
    </xdr:from>
    <xdr:to>
      <xdr:col>0</xdr:col>
      <xdr:colOff>1642108</xdr:colOff>
      <xdr:row>0</xdr:row>
      <xdr:rowOff>743048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5A5A1C8-5C66-47E0-BC5B-27D1A840B550}"/>
            </a:ext>
          </a:extLst>
        </xdr:cNvPr>
        <xdr:cNvGrpSpPr/>
      </xdr:nvGrpSpPr>
      <xdr:grpSpPr>
        <a:xfrm>
          <a:off x="653413" y="18760"/>
          <a:ext cx="988695" cy="724288"/>
          <a:chOff x="3581223" y="4722340"/>
          <a:chExt cx="1047699" cy="803969"/>
        </a:xfrm>
      </xdr:grpSpPr>
      <xdr:pic macro="[0]!Groupe37_Cliquer">
        <xdr:nvPicPr>
          <xdr:cNvPr id="30" name="Graphique 29" descr="Engrenage avec un remplissage uni">
            <a:extLst>
              <a:ext uri="{FF2B5EF4-FFF2-40B4-BE49-F238E27FC236}">
                <a16:creationId xmlns:a16="http://schemas.microsoft.com/office/drawing/2014/main" id="{6E9C2CFC-6B5C-60F5-8005-6D42321A4B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46209" y="4722340"/>
            <a:ext cx="535617" cy="535948"/>
          </a:xfrm>
          <a:prstGeom prst="rect">
            <a:avLst/>
          </a:prstGeom>
        </xdr:spPr>
      </xdr:pic>
      <xdr:sp macro="[0]!Groupe37_Cliquer" textlink="">
        <xdr:nvSpPr>
          <xdr:cNvPr id="31" name="ZoneTexte 30">
            <a:extLst>
              <a:ext uri="{FF2B5EF4-FFF2-40B4-BE49-F238E27FC236}">
                <a16:creationId xmlns:a16="http://schemas.microsoft.com/office/drawing/2014/main" id="{2E8E4A8C-8640-BFC5-1ABB-0BE77CA409F2}"/>
              </a:ext>
            </a:extLst>
          </xdr:cNvPr>
          <xdr:cNvSpPr txBox="1"/>
        </xdr:nvSpPr>
        <xdr:spPr>
          <a:xfrm>
            <a:off x="3581223" y="5164359"/>
            <a:ext cx="1047699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PARAMETRES</a:t>
            </a:r>
          </a:p>
        </xdr:txBody>
      </xdr:sp>
    </xdr:grpSp>
    <xdr:clientData/>
  </xdr:twoCellAnchor>
  <xdr:twoCellAnchor>
    <xdr:from>
      <xdr:col>0</xdr:col>
      <xdr:colOff>1543049</xdr:colOff>
      <xdr:row>0</xdr:row>
      <xdr:rowOff>17146</xdr:rowOff>
    </xdr:from>
    <xdr:to>
      <xdr:col>1</xdr:col>
      <xdr:colOff>462386</xdr:colOff>
      <xdr:row>0</xdr:row>
      <xdr:rowOff>750540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F367782C-21A6-4CE8-9556-EC8EFEF80A77}"/>
            </a:ext>
          </a:extLst>
        </xdr:cNvPr>
        <xdr:cNvGrpSpPr/>
      </xdr:nvGrpSpPr>
      <xdr:grpSpPr>
        <a:xfrm>
          <a:off x="1543049" y="17146"/>
          <a:ext cx="915777" cy="733394"/>
          <a:chOff x="4474845" y="4713105"/>
          <a:chExt cx="982980" cy="799012"/>
        </a:xfrm>
      </xdr:grpSpPr>
      <xdr:pic macro="[0]!Groupe38_Cliquer">
        <xdr:nvPicPr>
          <xdr:cNvPr id="33" name="Graphique 32" descr="Clap avec un remplissage uni">
            <a:extLst>
              <a:ext uri="{FF2B5EF4-FFF2-40B4-BE49-F238E27FC236}">
                <a16:creationId xmlns:a16="http://schemas.microsoft.com/office/drawing/2014/main" id="{7A3ED167-8126-4FCC-B4CA-146E5E86E5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4678709" y="4713105"/>
            <a:ext cx="531905" cy="542989"/>
          </a:xfrm>
          <a:prstGeom prst="rect">
            <a:avLst/>
          </a:prstGeom>
        </xdr:spPr>
      </xdr:pic>
      <xdr:sp macro="[0]!Groupe38_Cliquer" textlink="">
        <xdr:nvSpPr>
          <xdr:cNvPr id="34" name="ZoneTexte 33">
            <a:extLst>
              <a:ext uri="{FF2B5EF4-FFF2-40B4-BE49-F238E27FC236}">
                <a16:creationId xmlns:a16="http://schemas.microsoft.com/office/drawing/2014/main" id="{B8F51633-AA1A-70AF-D122-C78F44E9E492}"/>
              </a:ext>
            </a:extLst>
          </xdr:cNvPr>
          <xdr:cNvSpPr txBox="1"/>
        </xdr:nvSpPr>
        <xdr:spPr>
          <a:xfrm>
            <a:off x="4474845" y="5150167"/>
            <a:ext cx="9829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SCENARIOS</a:t>
            </a:r>
          </a:p>
        </xdr:txBody>
      </xdr:sp>
    </xdr:grpSp>
    <xdr:clientData/>
  </xdr:twoCellAnchor>
  <xdr:twoCellAnchor>
    <xdr:from>
      <xdr:col>1</xdr:col>
      <xdr:colOff>346709</xdr:colOff>
      <xdr:row>0</xdr:row>
      <xdr:rowOff>404</xdr:rowOff>
    </xdr:from>
    <xdr:to>
      <xdr:col>2</xdr:col>
      <xdr:colOff>64769</xdr:colOff>
      <xdr:row>0</xdr:row>
      <xdr:rowOff>747657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10C4928E-C9E6-4D33-AD1D-B8B5539FDB2F}"/>
            </a:ext>
          </a:extLst>
        </xdr:cNvPr>
        <xdr:cNvGrpSpPr/>
      </xdr:nvGrpSpPr>
      <xdr:grpSpPr>
        <a:xfrm>
          <a:off x="2343149" y="404"/>
          <a:ext cx="982980" cy="747253"/>
          <a:chOff x="5246768" y="4711603"/>
          <a:chExt cx="1069956" cy="810823"/>
        </a:xfrm>
      </xdr:grpSpPr>
      <xdr:pic macro="[0]!Groupe39_Cliquer">
        <xdr:nvPicPr>
          <xdr:cNvPr id="36" name="Graphique 35" descr="Icône de menu d'hamburger avec un remplissage uni">
            <a:extLst>
              <a:ext uri="{FF2B5EF4-FFF2-40B4-BE49-F238E27FC236}">
                <a16:creationId xmlns:a16="http://schemas.microsoft.com/office/drawing/2014/main" id="{51C58220-D429-2D90-8F9F-7205F451D0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5507497" y="4711603"/>
            <a:ext cx="539783" cy="545993"/>
          </a:xfrm>
          <a:prstGeom prst="rect">
            <a:avLst/>
          </a:prstGeom>
        </xdr:spPr>
      </xdr:pic>
      <xdr:sp macro="[0]!Groupe39_Cliquer" textlink="">
        <xdr:nvSpPr>
          <xdr:cNvPr id="37" name="ZoneTexte 36">
            <a:extLst>
              <a:ext uri="{FF2B5EF4-FFF2-40B4-BE49-F238E27FC236}">
                <a16:creationId xmlns:a16="http://schemas.microsoft.com/office/drawing/2014/main" id="{ED8BA4EE-7282-40C5-2F4B-E2F7CF61B531}"/>
              </a:ext>
            </a:extLst>
          </xdr:cNvPr>
          <xdr:cNvSpPr txBox="1"/>
        </xdr:nvSpPr>
        <xdr:spPr>
          <a:xfrm>
            <a:off x="5246768" y="5160475"/>
            <a:ext cx="1069956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OPERATIONS</a:t>
            </a:r>
          </a:p>
        </xdr:txBody>
      </xdr:sp>
    </xdr:grpSp>
    <xdr:clientData/>
  </xdr:twoCellAnchor>
  <xdr:twoCellAnchor>
    <xdr:from>
      <xdr:col>1</xdr:col>
      <xdr:colOff>1223010</xdr:colOff>
      <xdr:row>0</xdr:row>
      <xdr:rowOff>156</xdr:rowOff>
    </xdr:from>
    <xdr:to>
      <xdr:col>2</xdr:col>
      <xdr:colOff>827861</xdr:colOff>
      <xdr:row>0</xdr:row>
      <xdr:rowOff>749542</xdr:rowOff>
    </xdr:to>
    <xdr:grpSp>
      <xdr:nvGrpSpPr>
        <xdr:cNvPr id="38" name="Groupe 37">
          <a:extLst>
            <a:ext uri="{FF2B5EF4-FFF2-40B4-BE49-F238E27FC236}">
              <a16:creationId xmlns:a16="http://schemas.microsoft.com/office/drawing/2014/main" id="{6CF4CE54-F9C5-44F8-A41B-38B1ED6B85D3}"/>
            </a:ext>
          </a:extLst>
        </xdr:cNvPr>
        <xdr:cNvGrpSpPr/>
      </xdr:nvGrpSpPr>
      <xdr:grpSpPr>
        <a:xfrm>
          <a:off x="3219450" y="156"/>
          <a:ext cx="869771" cy="749386"/>
          <a:chOff x="6111240" y="4715166"/>
          <a:chExt cx="992505" cy="800761"/>
        </a:xfrm>
      </xdr:grpSpPr>
      <xdr:pic macro="[0]!Groupe40_Cliquer">
        <xdr:nvPicPr>
          <xdr:cNvPr id="39" name="Graphique 38" descr="Homme avec un remplissage uni">
            <a:extLst>
              <a:ext uri="{FF2B5EF4-FFF2-40B4-BE49-F238E27FC236}">
                <a16:creationId xmlns:a16="http://schemas.microsoft.com/office/drawing/2014/main" id="{A9FE6E38-1EC1-1575-0D36-403722F382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340353" y="4715166"/>
            <a:ext cx="533592" cy="538867"/>
          </a:xfrm>
          <a:prstGeom prst="rect">
            <a:avLst/>
          </a:prstGeom>
        </xdr:spPr>
      </xdr:pic>
      <xdr:sp macro="[0]!Groupe40_Cliquer" textlink="">
        <xdr:nvSpPr>
          <xdr:cNvPr id="40" name="ZoneTexte 39">
            <a:extLst>
              <a:ext uri="{FF2B5EF4-FFF2-40B4-BE49-F238E27FC236}">
                <a16:creationId xmlns:a16="http://schemas.microsoft.com/office/drawing/2014/main" id="{98B15113-03B2-EE0C-BB1E-CA2EF8D3B917}"/>
              </a:ext>
            </a:extLst>
          </xdr:cNvPr>
          <xdr:cNvSpPr txBox="1"/>
        </xdr:nvSpPr>
        <xdr:spPr>
          <a:xfrm>
            <a:off x="6111240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MO</a:t>
            </a:r>
          </a:p>
        </xdr:txBody>
      </xdr:sp>
    </xdr:grpSp>
    <xdr:clientData/>
  </xdr:twoCellAnchor>
  <xdr:twoCellAnchor>
    <xdr:from>
      <xdr:col>2</xdr:col>
      <xdr:colOff>714374</xdr:colOff>
      <xdr:row>0</xdr:row>
      <xdr:rowOff>0</xdr:rowOff>
    </xdr:from>
    <xdr:to>
      <xdr:col>2</xdr:col>
      <xdr:colOff>1666680</xdr:colOff>
      <xdr:row>0</xdr:row>
      <xdr:rowOff>749529</xdr:rowOff>
    </xdr:to>
    <xdr:grpSp>
      <xdr:nvGrpSpPr>
        <xdr:cNvPr id="41" name="Groupe 40">
          <a:extLst>
            <a:ext uri="{FF2B5EF4-FFF2-40B4-BE49-F238E27FC236}">
              <a16:creationId xmlns:a16="http://schemas.microsoft.com/office/drawing/2014/main" id="{9B137EB8-F879-41A7-9B2E-086F3336B89B}"/>
            </a:ext>
          </a:extLst>
        </xdr:cNvPr>
        <xdr:cNvGrpSpPr/>
      </xdr:nvGrpSpPr>
      <xdr:grpSpPr>
        <a:xfrm>
          <a:off x="3975734" y="0"/>
          <a:ext cx="952306" cy="749529"/>
          <a:chOff x="6905625" y="4716915"/>
          <a:chExt cx="992505" cy="799012"/>
        </a:xfrm>
      </xdr:grpSpPr>
      <xdr:pic macro="[0]!Groupe41_Cliquer">
        <xdr:nvPicPr>
          <xdr:cNvPr id="42" name="Graphique 41" descr="Tracteur avec un remplissage uni">
            <a:extLst>
              <a:ext uri="{FF2B5EF4-FFF2-40B4-BE49-F238E27FC236}">
                <a16:creationId xmlns:a16="http://schemas.microsoft.com/office/drawing/2014/main" id="{47479741-46B6-F96B-F255-124208DD67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7180353" y="4716915"/>
            <a:ext cx="496139" cy="542989"/>
          </a:xfrm>
          <a:prstGeom prst="rect">
            <a:avLst/>
          </a:prstGeom>
        </xdr:spPr>
      </xdr:pic>
      <xdr:sp macro="[0]!Groupe41_Cliquer" textlink="">
        <xdr:nvSpPr>
          <xdr:cNvPr id="43" name="ZoneTexte 42">
            <a:extLst>
              <a:ext uri="{FF2B5EF4-FFF2-40B4-BE49-F238E27FC236}">
                <a16:creationId xmlns:a16="http://schemas.microsoft.com/office/drawing/2014/main" id="{02A82171-0695-3892-138D-17880BCA3FAB}"/>
              </a:ext>
            </a:extLst>
          </xdr:cNvPr>
          <xdr:cNvSpPr txBox="1"/>
        </xdr:nvSpPr>
        <xdr:spPr>
          <a:xfrm>
            <a:off x="6905625" y="5153977"/>
            <a:ext cx="992505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MATERIEL</a:t>
            </a:r>
          </a:p>
        </xdr:txBody>
      </xdr:sp>
    </xdr:grpSp>
    <xdr:clientData/>
  </xdr:twoCellAnchor>
  <xdr:twoCellAnchor>
    <xdr:from>
      <xdr:col>2</xdr:col>
      <xdr:colOff>1590672</xdr:colOff>
      <xdr:row>0</xdr:row>
      <xdr:rowOff>17222</xdr:rowOff>
    </xdr:from>
    <xdr:to>
      <xdr:col>2</xdr:col>
      <xdr:colOff>2474903</xdr:colOff>
      <xdr:row>0</xdr:row>
      <xdr:rowOff>748644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FAFFA68B-31FF-4679-AAC0-5EA3AD762706}"/>
            </a:ext>
          </a:extLst>
        </xdr:cNvPr>
        <xdr:cNvGrpSpPr/>
      </xdr:nvGrpSpPr>
      <xdr:grpSpPr>
        <a:xfrm>
          <a:off x="4852032" y="17222"/>
          <a:ext cx="884231" cy="731422"/>
          <a:chOff x="7750330" y="4720799"/>
          <a:chExt cx="991952" cy="793369"/>
        </a:xfrm>
      </xdr:grpSpPr>
      <xdr:pic macro="[0]!Groupe42_Cliquer">
        <xdr:nvPicPr>
          <xdr:cNvPr id="45" name="Graphique 44" descr="Potion avec un remplissage uni">
            <a:extLst>
              <a:ext uri="{FF2B5EF4-FFF2-40B4-BE49-F238E27FC236}">
                <a16:creationId xmlns:a16="http://schemas.microsoft.com/office/drawing/2014/main" id="{C1D18EAD-F1A0-12FA-6B8A-9EAA7BFDAA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7982900" y="4720799"/>
            <a:ext cx="509890" cy="539030"/>
          </a:xfrm>
          <a:prstGeom prst="rect">
            <a:avLst/>
          </a:prstGeom>
        </xdr:spPr>
      </xdr:pic>
      <xdr:sp macro="[0]!Groupe42_Cliquer" textlink="">
        <xdr:nvSpPr>
          <xdr:cNvPr id="46" name="ZoneTexte 45">
            <a:extLst>
              <a:ext uri="{FF2B5EF4-FFF2-40B4-BE49-F238E27FC236}">
                <a16:creationId xmlns:a16="http://schemas.microsoft.com/office/drawing/2014/main" id="{49AD2432-AD22-A90E-006D-097B491A788D}"/>
              </a:ext>
            </a:extLst>
          </xdr:cNvPr>
          <xdr:cNvSpPr txBox="1"/>
        </xdr:nvSpPr>
        <xdr:spPr>
          <a:xfrm>
            <a:off x="7750330" y="5153156"/>
            <a:ext cx="991952" cy="3610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INTRANT</a:t>
            </a:r>
          </a:p>
        </xdr:txBody>
      </xdr:sp>
    </xdr:grpSp>
    <xdr:clientData/>
  </xdr:twoCellAnchor>
  <xdr:twoCellAnchor>
    <xdr:from>
      <xdr:col>2</xdr:col>
      <xdr:colOff>2278379</xdr:colOff>
      <xdr:row>0</xdr:row>
      <xdr:rowOff>17826</xdr:rowOff>
    </xdr:from>
    <xdr:to>
      <xdr:col>3</xdr:col>
      <xdr:colOff>813435</xdr:colOff>
      <xdr:row>0</xdr:row>
      <xdr:rowOff>750594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F0A7792A-34DC-41DE-B2A4-BCF5FD5A2529}"/>
            </a:ext>
          </a:extLst>
        </xdr:cNvPr>
        <xdr:cNvGrpSpPr/>
      </xdr:nvGrpSpPr>
      <xdr:grpSpPr>
        <a:xfrm>
          <a:off x="5539739" y="17826"/>
          <a:ext cx="1163956" cy="732768"/>
          <a:chOff x="8469629" y="4725216"/>
          <a:chExt cx="1211580" cy="790711"/>
        </a:xfrm>
      </xdr:grpSpPr>
      <xdr:pic macro="[0]!Groupe43_Cliquer">
        <xdr:nvPicPr>
          <xdr:cNvPr id="48" name="Graphique 47" descr="Calculatrice avec un remplissage uni">
            <a:extLst>
              <a:ext uri="{FF2B5EF4-FFF2-40B4-BE49-F238E27FC236}">
                <a16:creationId xmlns:a16="http://schemas.microsoft.com/office/drawing/2014/main" id="{72E3B3A8-CD43-9890-66D3-8AF570CA54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8787766" y="4725216"/>
            <a:ext cx="548639" cy="526386"/>
          </a:xfrm>
          <a:prstGeom prst="rect">
            <a:avLst/>
          </a:prstGeom>
        </xdr:spPr>
      </xdr:pic>
      <xdr:sp macro="[0]!Groupe43_Cliquer" textlink="">
        <xdr:nvSpPr>
          <xdr:cNvPr id="49" name="ZoneTexte 48">
            <a:extLst>
              <a:ext uri="{FF2B5EF4-FFF2-40B4-BE49-F238E27FC236}">
                <a16:creationId xmlns:a16="http://schemas.microsoft.com/office/drawing/2014/main" id="{E6A6AD33-9145-A003-8BD0-84959EC62EC1}"/>
              </a:ext>
            </a:extLst>
          </xdr:cNvPr>
          <xdr:cNvSpPr txBox="1"/>
        </xdr:nvSpPr>
        <xdr:spPr>
          <a:xfrm>
            <a:off x="8469629" y="5153977"/>
            <a:ext cx="12115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solidFill>
                  <a:schemeClr val="bg1"/>
                </a:solidFill>
              </a:rPr>
              <a:t>DEBIT</a:t>
            </a:r>
            <a:r>
              <a:rPr lang="fr-FR" sz="1100" b="1" baseline="0">
                <a:solidFill>
                  <a:schemeClr val="bg1"/>
                </a:solidFill>
              </a:rPr>
              <a:t> CHANTIER</a:t>
            </a:r>
            <a:endParaRPr lang="fr-FR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thieu Liébart" id="{7D8B08CF-64EC-4BEF-A1D7-5F937BF51837}" userId="S::mathieu.liebart@civc.fr::9adda2b5-f8f9-4cc5-a6f1-2fdc05cfa568" providerId="AD"/>
  <person displayName="Geoffroy Houdard" id="{AAA1FACB-36BE-49E2-BC07-52C58BA94AF6}" userId="S::geoffroy.houdard@civc.fr::feb2981f-214b-48ac-ad2d-6c31a46cabfb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A77F595-B301-4657-A0FD-6B708712DBC7}" name="Tableau_aoc" displayName="Tableau_aoc" ref="A19:L55" totalsRowShown="0" headerRowDxfId="84" dataDxfId="82" headerRowBorderDxfId="83" tableBorderDxfId="81" totalsRowBorderDxfId="80">
  <autoFilter ref="A19:L55" xr:uid="{EA77F595-B301-4657-A0FD-6B708712DBC7}"/>
  <sortState xmlns:xlrd2="http://schemas.microsoft.com/office/spreadsheetml/2017/richdata2" ref="A20:K55">
    <sortCondition descending="1" ref="E19:E55"/>
  </sortState>
  <tableColumns count="12">
    <tableColumn id="1" xr3:uid="{E01E490F-BC1D-4C2F-B2C9-B84E23EE5316}" name="SCENARIO" dataDxfId="79"/>
    <tableColumn id="2" xr3:uid="{1C0D1F26-9F77-4B01-826A-4B11DC802F81}" name="SURF" dataDxfId="78"/>
    <tableColumn id="3" xr3:uid="{C5D10F0B-41BA-4B37-839C-6ED0D742329E}" name="DEP" dataDxfId="77"/>
    <tableColumn id="4" xr3:uid="{375E853D-8CD7-4940-9C5F-758C48A3E0FA}" name="CERT" dataDxfId="76"/>
    <tableColumn id="5" xr3:uid="{DCE63A43-1879-46CA-BE67-3087E98025D0}" name="NB_EST" dataDxfId="75"/>
    <tableColumn id="6" xr3:uid="{4E7634B2-E589-4DFD-86E0-1C17090653E0}" name="%_nb" dataDxfId="74" dataCellStyle="Pourcentage">
      <calculatedColumnFormula>Tableau_aoc[[#This Row],[NB_EST]]/$E$18</calculatedColumnFormula>
    </tableColumn>
    <tableColumn id="7" xr3:uid="{052B9731-6CB0-4034-A21D-0ADA757C0C5B}" name="SURF_EST" dataDxfId="73"/>
    <tableColumn id="8" xr3:uid="{C8CF8D83-0FD2-42C2-B234-BC7AE1215612}" name="%_surf" dataDxfId="72">
      <calculatedColumnFormula>Tableau_aoc[[#This Row],[SURF_EST]]/$G$18</calculatedColumnFormula>
    </tableColumn>
    <tableColumn id="9" xr3:uid="{7F00489E-7536-4ECC-89A9-6BFBE3F62CD6}" name="surf_moy (ha)" dataDxfId="71">
      <calculatedColumnFormula>Tableau_aoc[[#This Row],[SURF_EST]]/Tableau_aoc[[#This Row],[NB_EST]]</calculatedColumnFormula>
    </tableColumn>
    <tableColumn id="10" xr3:uid="{5B6DC85D-1CB5-4259-A929-E7694E43E973}" name="cout_op (€/ha)" dataDxfId="70">
      <calculatedColumnFormula>IFERROR(SUMIFS(Tableau_scenarios[Cout_op],Tableau_scenarios[ID_scenario],Tableau_aoc[[#This Row],[SCENARIO]])/Tableau_aoc[[#This Row],[surf_moy (ha)]],0)</calculatedColumnFormula>
    </tableColumn>
    <tableColumn id="11" xr3:uid="{B4FD4855-CAFF-45C1-9CFE-352FC2FCD24A}" name="temps_MO (h/ha)" dataDxfId="69">
      <calculatedColumnFormula>IFERROR(SUMIFS(Tableau_scenarios[Temps_MO_op],Tableau_scenarios[ID_scenario],Tableau_aoc[[#This Row],[SCENARIO]])/Tableau_aoc[[#This Row],[surf_moy (ha)]],0)</calculatedColumnFormula>
    </tableColumn>
    <tableColumn id="12" xr3:uid="{4CE95AD3-8789-4EC3-89D6-F2FA6F78946B}" name="Statut_scenario" dataDxfId="68">
      <calculatedColumnFormula>IF(COUNTIF(Tableau_scenarios[ID_scenario],Tableau_aoc[[#This Row],[SCENARIO]])&gt;0,"✓ Défini","⚠ Non défini")</calculatedColumnFormula>
    </tableColumn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302BB2E-6176-4CED-B645-9EBEE37D2DDF}" name="Tableau_scenarios" displayName="Tableau_scenarios" ref="A2:I25" totalsRowShown="0" headerRowDxfId="67" headerRowBorderDxfId="66" tableBorderDxfId="65">
  <autoFilter ref="A2:I25" xr:uid="{E302BB2E-6176-4CED-B645-9EBEE37D2DDF}"/>
  <tableColumns count="9">
    <tableColumn id="1" xr3:uid="{71348275-12A3-4311-A13D-21A526DCD1BD}" name="ID_scenario" dataDxfId="64"/>
    <tableColumn id="3" xr3:uid="{DCB966AC-6FFC-441E-BEB7-4198D229FAF1}" name="Opérations" dataDxfId="63">
      <calculatedColumnFormula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calculatedColumnFormula>
    </tableColumn>
    <tableColumn id="8" xr3:uid="{D2D22557-5203-4F9E-BCB2-145D29645E24}" name="Code_op" dataDxfId="62"/>
    <tableColumn id="4" xr3:uid="{F67B8126-BFAA-4310-8B76-E292D47CE55B}" name="Cout_op" dataDxfId="61" dataCellStyle="Monétaire">
      <calculatedColumnFormula>IFERROR(_xlfn.XLOOKUP(Tableau_scenarios[[#This Row],[Code_op]],Tableau_operations[Code_op],Tableau_operations[Cout total HT (€/ha)])*Tableau_scenarios[[#This Row],[Surf_op]]*Tableau_scenarios[[#This Row],[Nb_op]],0)</calculatedColumnFormula>
    </tableColumn>
    <tableColumn id="7" xr3:uid="{2AE37EEF-7DB5-4033-B60A-DDABE3B90D46}" name="Cout_op_ha" dataDxfId="60" dataCellStyle="Monétaire">
      <calculatedColumnFormula>Tableau_scenarios[[#This Row],[Cout_op]]/Tableau_scenarios[[#This Row],[Surf_op]]</calculatedColumnFormula>
    </tableColumn>
    <tableColumn id="2" xr3:uid="{E0125782-116E-4366-8DDB-A99103B522ED}" name="Temps_MO_op" dataDxfId="59">
      <calculatedColumnFormula>IFERROR(N(_xlfn.XLOOKUP(Tableau_scenarios[[#This Row],[Code_op]],Tableau_operations[Code_op],Tableau_operations[h_MO_ha]))*Tableau_scenarios[[#This Row],[Surf_op]]*Tableau_scenarios[[#This Row],[Nb_op]],0)</calculatedColumnFormula>
    </tableColumn>
    <tableColumn id="5" xr3:uid="{92FD11A9-1B54-4AB1-AC62-A8B79C858036}" name="Surf_op" dataDxfId="58">
      <calculatedColumnFormula>VLOOKUP(Tableau_scenarios[[#This Row],[ID_scenario]],Tableau_aoc[],9,FALSE)</calculatedColumnFormula>
    </tableColumn>
    <tableColumn id="6" xr3:uid="{171AE9A3-C985-43CE-A573-7DC6EF5878EE}" name="Nb_op" dataDxfId="57"/>
    <tableColumn id="9" name="Temps_machine_op">
      <calculatedColumnFormula>IFERROR(N(_xlfn.XLOOKUP(Tableau_scenarios[[#This Row],[Code_op]],Tableau_operations[Code_op],Tableau_operations[h_machine_ha]))*Tableau_scenarios[[#This Row],[Surf_op]]*Tableau_scenarios[[#This Row],[Nb_op]],0)</calculatedColumnFormula>
    </tableColumn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86DDB5-4219-485F-9D07-1E1687B9B47B}" name="Tableau_operations" displayName="Tableau_operations" ref="A2:R60" totalsRowShown="0" headerRowDxfId="54" dataDxfId="52" headerRowBorderDxfId="53" tableBorderDxfId="51">
  <autoFilter ref="A2:R60" xr:uid="{5086DDB5-4219-485F-9D07-1E1687B9B47B}"/>
  <tableColumns count="18">
    <tableColumn id="1" xr3:uid="{6DD12AED-7DAA-4C8F-86E3-928034968E75}" name="Code_op" dataDxfId="50"/>
    <tableColumn id="2" xr3:uid="{B3155053-D154-431D-B74D-8B2EB0DA3B91}" name="Famille_op" dataDxfId="49"/>
    <tableColumn id="3" xr3:uid="{76D5C20F-6DE8-4A14-99D7-85D6159759CF}" name="Libellé_opération" dataDxfId="48"/>
    <tableColumn id="16" xr3:uid="{BC6D1C48-8B8E-4E65-A0B5-C5C695915D6D}" name="Ordre" dataDxfId="47"/>
    <tableColumn id="4" xr3:uid="{9968A19B-FF00-483D-956B-079DD7E88471}" name="Mode_conduite" dataDxfId="46"/>
    <tableColumn id="5" xr3:uid="{E5C001A6-FB3D-48ED-98A7-60FC4344F271}" name="Type_organisation" dataDxfId="45"/>
    <tableColumn id="17" xr3:uid="{C2B4ACEE-81E1-45F5-A21A-19A6C627049C}" name="Source/hypothèse" dataDxfId="44"/>
    <tableColumn id="6" xr3:uid="{07186E13-543C-4F2F-9EE0-86BB50D1A36B}" name="Code_MO_principal" dataDxfId="43"/>
    <tableColumn id="7" xr3:uid="{44979B3F-A56D-4C11-AB74-7D94B49BF963}" name="h_MO_ha" dataDxfId="42"/>
    <tableColumn id="13" xr3:uid="{63931CB9-B5A0-41DA-AFBB-C477E398F5B5}" name="Cout_MO_ha" dataDxfId="41" dataCellStyle="Monétaire">
      <calculatedColumnFormula>IF(OR(Tableau_operations[[#This Row],[Code_MO_principal]]="",Tableau_operations[[#This Row],[h_MO_ha]]=""),0,Tableau_operations[[#This Row],[h_MO_ha]]*N(_xlfn.XLOOKUP(Tableau_operations[[#This Row],[Code_MO_principal]],Tableau_MO[Code_MO],Tableau_MO[Coût_total_€/h],0)))</calculatedColumnFormula>
    </tableColumn>
    <tableColumn id="8" xr3:uid="{2C75874B-56D3-4690-A60F-E4840BE6ADC9}" name="Code_machine" dataDxfId="40"/>
    <tableColumn id="9" xr3:uid="{542D2318-91D4-4B13-9D05-4B3BD844DAE9}" name="h_machine_ha" dataDxfId="39">
      <calculatedColumnFormula>IF(Tableau_operations[[#This Row],[Code_machine]]="",0,N(Tableau_operations[[#This Row],[h_MO_ha]]))</calculatedColumnFormula>
    </tableColumn>
    <tableColumn id="14" xr3:uid="{CE946004-1012-40CB-BF85-B6DB30EFDBE6}" name="Cout_machine_ha" dataDxfId="38" dataCellStyle="Monétaire">
      <calculatedColumnFormula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calculatedColumnFormula>
    </tableColumn>
    <tableColumn id="10" xr3:uid="{EC0E766D-51B7-4BD9-8811-60DE3B323928}" name="Code_intrant" dataDxfId="37"/>
    <tableColumn id="11" xr3:uid="{E12A15DF-05D9-4C94-B5FE-FB406030701F}" name="Q_intrant_ha" dataDxfId="36"/>
    <tableColumn id="15" xr3:uid="{9D6E78D0-5326-4FBF-9D2C-DFDE40BEDEE1}" name="Cout_intrant_ha" dataDxfId="35" dataCellStyle="Monétaire">
      <calculatedColumnFormula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calculatedColumnFormula>
    </tableColumn>
    <tableColumn id="12" xr3:uid="{3937FB24-FDDF-4AB6-ACCD-CD29E8206199}" name="Cout total HT (€/ha)" dataDxfId="34" dataCellStyle="Monétaire">
      <calculatedColumnFormula>IFERROR(SUM(Tableau_operations[[#This Row],[Cout_MO_ha]],Tableau_operations[[#This Row],[Cout_machine_ha]],Tableau_operations[[#This Row],[Cout_intrant_ha]],Tableau_operations[[#This Row],[Cout_presta_ha]]),0)</calculatedColumnFormula>
    </tableColumn>
    <tableColumn id="18" name="Cout_presta_ha" dataCellStyle="Monétaire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07A6C6-4E8F-462C-8212-634D3FD8E2E1}" name="Tableau_MO" displayName="Tableau_MO" ref="A2:G12" totalsRowShown="0" headerRowDxfId="32" dataDxfId="30" headerRowBorderDxfId="31" tableBorderDxfId="29" totalsRowBorderDxfId="28">
  <autoFilter ref="A2:G12" xr:uid="{6A07A6C6-4E8F-462C-8212-634D3FD8E2E1}"/>
  <tableColumns count="7">
    <tableColumn id="1" xr3:uid="{4A1290F7-C3AC-4217-83CD-A32D15F10F5E}" name="Code_MO" dataDxfId="27"/>
    <tableColumn id="2" xr3:uid="{2CCB0B2D-2857-4D6C-A8BA-61C40B6FC30B}" name="Libellé" dataDxfId="26"/>
    <tableColumn id="3" xr3:uid="{45F6BC72-CD97-4371-B462-14F048A3B98F}" name="Salaire_brut_€/h" dataDxfId="25"/>
    <tableColumn id="7" xr3:uid="{FA963C57-DA62-4248-B0EA-E33B5FECFEDB}" name="€/kg" dataDxfId="24" dataCellStyle="Monétaire"/>
    <tableColumn id="4" xr3:uid="{F47414C0-9B46-4619-83C5-9E001651E117}" name="Charges_%" dataDxfId="23"/>
    <tableColumn id="5" xr3:uid="{85EA4864-11D1-4BA5-9F5E-257B8DC71CAD}" name="Coût_total_€/h" dataDxfId="22">
      <calculatedColumnFormula>IF(Tableau_MO[[#This Row],[Salaire_brut_€/h]]="","",Tableau_MO[[#This Row],[Salaire_brut_€/h]]*(1+IF(ISNUMBER(Tableau_MO[[#This Row],[Charges_%]]),Tableau_MO[[#This Row],[Charges_%]],0)))</calculatedColumnFormula>
    </tableColumn>
    <tableColumn id="6" xr3:uid="{E0618214-AB26-4111-A149-CF1DFD07BE1F}" name="Remarques" dataDxfId="2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EFD5A9-91A9-43B0-8C4C-21C34E96B739}" name="Tableau_mecanisation" displayName="Tableau_mecanisation" ref="A2:M9" totalsRowShown="0" headerRowDxfId="20" headerRowBorderDxfId="19" tableBorderDxfId="18" totalsRowBorderDxfId="17">
  <autoFilter ref="A2:M9" xr:uid="{46EFD5A9-91A9-43B0-8C4C-21C34E96B739}"/>
  <tableColumns count="13">
    <tableColumn id="1" xr3:uid="{0648B9D0-BC3F-4120-B3F0-1A0EF728DB5A}" name="Code_machine" dataDxfId="16"/>
    <tableColumn id="2" xr3:uid="{5957E85B-6F93-4400-969A-26A75FA93B04}" name="Type_machine" dataDxfId="15"/>
    <tableColumn id="3" xr3:uid="{7E80F60D-E017-4927-8787-FCFD421619AB}" name="Valeur_achat_€" dataDxfId="14" dataCellStyle="Monétaire"/>
    <tableColumn id="4" xr3:uid="{4B047224-6E14-4993-9278-4616DC1ED262}" name="Durée_amortissement_ans" dataDxfId="13"/>
    <tableColumn id="5" xr3:uid="{A25C9807-81FC-47C1-B730-6D9FB9831AB7}" name="Heures_annuelles_tot"/>
    <tableColumn id="6" xr3:uid="{038E838E-2D71-4FB9-A3C6-EB2C3FA1B42B}" name="Entretien_annuel_€" dataDxfId="12"/>
    <tableColumn id="7" xr3:uid="{97DAD730-D19B-4EEC-8234-13C352608A76}" name="Carburant_l/h" dataDxfId="11"/>
    <tableColumn id="8" xr3:uid="{7321F538-DADC-4084-9F90-C7AD146A2DCB}" name="Prix_GNR_€/l" dataDxfId="10"/>
    <tableColumn id="9" xr3:uid="{10201C7D-A074-4886-BE19-83F16B4CCC91}" name="Autres_frais_annuels_€" dataDxfId="9"/>
    <tableColumn id="11" xr3:uid="{F69F634F-D218-4480-8A07-621D9BFE203A}" name="Puissance_CV" dataDxfId="8"/>
    <tableColumn id="12" xr3:uid="{2477763F-20E4-4AEB-B1A4-2F0F9BDF6745}" name="Assurance_remisage_€" dataDxfId="7"/>
    <tableColumn id="13" xr3:uid="{75412639-634C-4D20-B7DF-EC682999E446}" name="Source_remarques" dataDxfId="6"/>
    <tableColumn id="10" xr3:uid="{D43E6D1B-D104-4574-BEE3-B8B97C49095E}" name="Coût_h_€/h" dataDxfId="5" dataCellStyle="Monétaire">
      <calculatedColumnFormula>IFERROR((-PMT(AOC!$B$15,Tableau_mecanisation[[#This Row],[Durée_amortissement_ans]],Tableau_mecanisation[[#This Row],[Valeur_achat_€]])+Tableau_mecanisation[[#This Row],[Entretien_annuel_€]]+Tableau_mecanisation[[#This Row],[Autres_frais_annuels_€]]+Tableau_mecanisation[[#This Row],[Assurance_remisage_€]])/Tableau_mecanisation[[#This Row],[Heures_annuelles_tot]]+(Tableau_mecanisation[[#This Row],[Carburant_l/h]]*Tableau_mecanisation[[#This Row],[Prix_GNR_€/l]]),0)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287294-B4FC-42F1-A7AB-2107596DA817}" name="Tableau_intrants" displayName="Tableau_intrants" ref="A2:F148" totalsRowShown="0" headerRowDxfId="4" headerRowBorderDxfId="3" tableBorderDxfId="2">
  <autoFilter ref="A2:F148" xr:uid="{CB287294-B4FC-42F1-A7AB-2107596DA817}"/>
  <tableColumns count="6">
    <tableColumn id="1" xr3:uid="{C17A1A9E-79A8-4E9B-8082-39681EDB81AB}" name="Code_intrant" dataDxfId="1">
      <calculatedColumnFormula>_xlfn.CONCAT(UPPER(LEFT(B3,4)),"_",UPPER(LEFT(C3,4)))</calculatedColumnFormula>
    </tableColumn>
    <tableColumn id="5" xr3:uid="{CFC74401-2E1B-4648-870D-A1A20C8DC793}" name="Type"/>
    <tableColumn id="2" xr3:uid="{88DBDD52-DEFC-42C3-B281-FD2ADD75E42D}" name="Composition"/>
    <tableColumn id="7" xr3:uid="{07EC7896-6FA7-4B62-9168-C630EA316E23}" name="Nom commerciaux"/>
    <tableColumn id="4" xr3:uid="{91ED0B07-2F9E-4D6A-99B4-92AF753DE229}" name="Prix" dataCellStyle="Monétaire"/>
    <tableColumn id="3" xr3:uid="{2691DC06-84EA-4104-B79F-DB311F709056}" name="unité" dataDxfId="0" dataCellStyle="Monétair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6-04-08T07:26:40.36" personId="{7D8B08CF-64EC-4BEF-A1D7-5F937BF51837}" id="{EBF83CC4-3FFE-4C32-B658-390F5D44C4CD}">
    <text>PLUTÖT RAISONNER EN COÜT D’UN ENTREPLANT plus facile pour les calculs</text>
  </threadedComment>
  <threadedComment ref="G58" dT="2026-04-06T19:37:29.51" personId="{AAA1FACB-36BE-49E2-BC07-52C58BA94AF6}" id="{D026733A-E570-43C6-8159-18B9A5AFC093}">
    <text>1️⃣ Vitesse de vendange manuelle – références terrain
Les sources institutionnelles et professionnelles ne donnent pas une valeur unique officielle, mais les ordres de grandeur suivants sont ceux utilisés par les exploitations et prestataires champenois (cueilleurs + porteurs, sans tri fin).
🔹 Vitesse par vendangeur (cueilleur)
250 à 350 kg de raisin / jour / personne
soit environ 30 à 45 kg / heure
[champagne-...e-pajon.fr], [viteam.fr]
👉 En conditions normales (vignes saines, rendement ~9–10 t/ha).
2️⃣ Conversion en temps par hectare
Hypothèse standard Champagne
Rendement vendangé : 9 000 à 10 000 kg/ha
Journée de travail : 8 h
⏱️ Temps de vendange (cueillette seule)
Rendementkg/h/persh/ha/pers9 000 kg/ha35 kg/h257 h/ha9 000 kg/ha40 kg/h225 h/ha10 000 kg/ha35 kg/h286 h/ha10 000 kg/ha40 kg/h250 h/ha
➡️ Référence robuste à retenir pour la maquette :
✅ 240 à 280 h/ha de main-d’œuvre vendange
3️⃣ Organisation réelle d’une équipe de vendange
En Champagne, le coût ne vient pas seulement des cueilleurs.
Composition type (ordre de grandeur)
60–70 % cueilleurs
20–25 % porteurs
5–10 % encadrement / chauffeurs
➡️ On applique classiquement un coefficient d’organisation.
🔧 Coefficient organisation vendange
× 1,25 à 1,35 sur les heures de cueillette pure
[viteam.fr], [maisons-ch...mpagne.com]
⏱️ Temps total vendange “complet”
300 à 360 h/ha (cueillette + portage + encadrement)
✅ Valeur centrale utilisée en coût de production :
≈ 330 h/ha</text>
    <extLst>
      <x:ext xmlns:xltc2="http://schemas.microsoft.com/office/spreadsheetml/2020/threadedcomments2" uri="{F7C98A9C-CBB3-438F-8F68-D28B6AF4A901}">
        <xltc2:checksum>1546096950</xltc2:checksum>
        <xltc2:hyperlink startIndex="404" length="25" url="https://www.champagne-selosse-pajon.fr/vinification-champagne/les-vendanges/"/>
        <xltc2:hyperlink startIndex="431" length="11" url="https://viteam.fr/tarif-prestation-viticole-champagne/"/>
        <xltc2:hyperlink startIndex="1266" length="11" url="https://viteam.fr/tarif-prestation-viticole-champagne/"/>
        <xltc2:hyperlink startIndex="1279" length="25" url="https://maisons-champagne.com/IMG/pdf/guide_ps_04.06_2024.pdf"/>
      </x:ext>
    </extLs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3" dT="2026-06-26T12:27:57.55" personId="{AAA1FACB-36BE-49E2-BC07-52C58BA94AF6}" id="{4DB16CA2-C4B0-447E-B070-A92B330B9E57}">
    <text>largeur de travail x vitesse avancement x0,7 *0,1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2389A-594A-496C-ADA8-A51BD8B36557}">
  <sheetPr codeName="Feuil1">
    <tabColor theme="4"/>
  </sheetPr>
  <dimension ref="A1:I14"/>
  <sheetViews>
    <sheetView workbookViewId="0">
      <selection activeCell="I20" sqref="I20"/>
    </sheetView>
  </sheetViews>
  <sheetFormatPr baseColWidth="10" defaultColWidth="11.44140625" defaultRowHeight="14.4"/>
  <cols>
    <col min="1" max="1" width="20.6640625" bestFit="1" customWidth="1"/>
    <col min="2" max="2" width="39.44140625" bestFit="1" customWidth="1"/>
    <col min="3" max="3" width="30.33203125" bestFit="1" customWidth="1"/>
    <col min="4" max="4" width="25.6640625" bestFit="1" customWidth="1"/>
  </cols>
  <sheetData>
    <row r="1" spans="1:9" s="88" customFormat="1" ht="64.95" customHeight="1">
      <c r="A1" s="87"/>
      <c r="B1" s="87"/>
      <c r="C1" s="87"/>
      <c r="D1" s="87"/>
      <c r="E1" s="87"/>
      <c r="F1" s="87"/>
      <c r="G1" s="87"/>
      <c r="H1" s="87"/>
    </row>
    <row r="3" spans="1:9">
      <c r="A3" s="161" t="s">
        <v>193</v>
      </c>
      <c r="B3" s="161"/>
      <c r="C3" s="161"/>
      <c r="D3" s="161"/>
      <c r="E3" s="161"/>
      <c r="F3" s="161"/>
      <c r="G3" s="161"/>
      <c r="H3" s="161"/>
    </row>
    <row r="4" spans="1:9">
      <c r="A4" s="161" t="s">
        <v>194</v>
      </c>
      <c r="B4" s="161"/>
      <c r="C4" s="161"/>
      <c r="D4" s="161"/>
      <c r="E4" s="161"/>
      <c r="F4" s="161"/>
      <c r="G4" s="161"/>
      <c r="H4" s="161"/>
    </row>
    <row r="6" spans="1:9">
      <c r="A6" s="85" t="s">
        <v>195</v>
      </c>
      <c r="B6" s="85" t="s">
        <v>274</v>
      </c>
      <c r="C6" s="85" t="s">
        <v>196</v>
      </c>
    </row>
    <row r="7">
      <c r="A7" s="86" t="s">
        <v>276</v>
      </c>
      <c r="B7" s="86" t="s">
        <v>197</v>
      </c>
      <c r="C7" s="86" t="s">
        <v>729</v>
      </c>
    </row>
    <row r="8" spans="1:9" ht="16.8">
      <c r="A8" s="86" t="s">
        <v>199</v>
      </c>
      <c r="B8" s="86" t="s">
        <v>200</v>
      </c>
      <c r="C8" s="86" t="s">
        <v>201</v>
      </c>
      <c r="D8" s="115" t="s">
        <v>275</v>
      </c>
      <c r="E8" s="114"/>
      <c r="F8" s="114"/>
      <c r="G8" s="114"/>
      <c r="H8" s="114"/>
      <c r="I8" s="114"/>
    </row>
    <row r="9" spans="1:9" ht="16.8">
      <c r="A9" s="86" t="s">
        <v>202</v>
      </c>
      <c r="B9" s="86" t="s">
        <v>203</v>
      </c>
      <c r="C9" s="86" t="s">
        <v>204</v>
      </c>
      <c r="D9" s="115" t="s">
        <v>275</v>
      </c>
      <c r="E9" s="114"/>
      <c r="F9" s="114"/>
      <c r="G9" s="114"/>
      <c r="H9" s="114"/>
      <c r="I9" s="114"/>
    </row>
    <row r="10" spans="1:9">
      <c r="A10" s="86" t="s">
        <v>205</v>
      </c>
      <c r="B10" s="86" t="s">
        <v>206</v>
      </c>
      <c r="C10" s="86" t="s">
        <v>207</v>
      </c>
    </row>
    <row r="11" spans="1:9">
      <c r="A11" s="86" t="s">
        <v>208</v>
      </c>
      <c r="B11" s="86" t="s">
        <v>209</v>
      </c>
      <c r="C11" s="86" t="s">
        <v>210</v>
      </c>
    </row>
    <row r="12" spans="1:9">
      <c r="A12" s="86" t="s">
        <v>211</v>
      </c>
      <c r="B12" s="86" t="s">
        <v>212</v>
      </c>
      <c r="C12" s="86" t="s">
        <v>213</v>
      </c>
    </row>
    <row r="13" spans="1:9">
      <c r="A13" s="86" t="s">
        <v>214</v>
      </c>
      <c r="B13" s="86" t="s">
        <v>215</v>
      </c>
      <c r="C13" s="86" t="s">
        <v>216</v>
      </c>
    </row>
    <row r="14">
      <c r="A14" s="86" t="s">
        <v>217</v>
      </c>
      <c r="B14" s="86" t="s">
        <v>219</v>
      </c>
      <c r="C14" s="86" t="s">
        <v>218</v>
      </c>
    </row>
    <row r="15">
      <c r="A15" t="s" s="86">
        <v>730</v>
      </c>
      <c r="B15" t="s" s="86">
        <v>731</v>
      </c>
      <c r="C15" t="s" s="86">
        <v>732</v>
      </c>
    </row>
  </sheetData>
  <mergeCells count="2">
    <mergeCell ref="A3:H3"/>
    <mergeCell ref="A4:H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4" tint="-0.249977111117893"/>
  </sheetPr>
  <dimension ref="A1:L55"/>
  <sheetViews>
    <sheetView zoomScale="80" zoomScaleNormal="80" workbookViewId="0">
      <selection activeCell="G21" sqref="G21"/>
    </sheetView>
  </sheetViews>
  <sheetFormatPr baseColWidth="10" defaultColWidth="8.6640625" defaultRowHeight="14.4"/>
  <cols>
    <col min="1" max="1" width="43.44140625" customWidth="1"/>
    <col min="2" max="2" width="15" bestFit="1" customWidth="1"/>
    <col min="3" max="3" width="21.109375" customWidth="1"/>
    <col min="4" max="4" width="18.21875" customWidth="1"/>
    <col min="5" max="5" width="13.5546875" bestFit="1" customWidth="1"/>
    <col min="6" max="6" width="11.21875" bestFit="1" customWidth="1"/>
    <col min="7" max="7" width="16" bestFit="1" customWidth="1"/>
    <col min="8" max="8" width="12.44140625" bestFit="1" customWidth="1"/>
    <col min="9" max="9" width="19.33203125" bestFit="1" customWidth="1"/>
    <col min="10" max="10" width="16.33203125" bestFit="1" customWidth="1"/>
    <col min="11" max="11" width="17.6640625" bestFit="1" customWidth="1"/>
    <col min="12" max="12" width="8.44140625" customWidth="1"/>
    <col min="13" max="13" width="13.21875" customWidth="1"/>
    <col min="14" max="14" width="9.77734375" customWidth="1"/>
  </cols>
  <sheetData>
    <row r="1" spans="1:3" s="88" customFormat="1" ht="64.95" customHeight="1"/>
    <row r="2" spans="1:3" ht="22.2" customHeight="1">
      <c r="A2" s="2" t="s">
        <v>0</v>
      </c>
    </row>
    <row r="3" spans="1:3" ht="14.7" customHeight="1">
      <c r="A3" s="1"/>
    </row>
    <row r="4" spans="1:3" ht="14.7" customHeight="1">
      <c r="A4" s="7" t="s">
        <v>3</v>
      </c>
    </row>
    <row r="5" ht="14.7" customHeight="1">
      <c r="A5" s="8" t="s">
        <v>4</v>
      </c>
      <c r="B5" s="9">
        <v>8800</v>
      </c>
      <c r="C5" t="s">
        <v>5</v>
      </c>
      <c r="D5" t="s">
        <v>721</v>
      </c>
    </row>
    <row r="6" ht="14.7" customHeight="1">
      <c r="A6" s="8" t="s">
        <v>6</v>
      </c>
      <c r="B6" s="9">
        <v>14500</v>
      </c>
      <c r="C6" t="s">
        <v>5</v>
      </c>
      <c r="D6" t="s">
        <v>722</v>
      </c>
    </row>
    <row r="7" ht="14.7" customHeight="1">
      <c r="A7" s="8" t="s">
        <v>7</v>
      </c>
      <c r="B7" s="9">
        <v>10000</v>
      </c>
      <c r="C7" t="s">
        <v>5</v>
      </c>
      <c r="D7" t="s">
        <v>723</v>
      </c>
    </row>
    <row r="8" spans="1:3" ht="14.7" customHeight="1">
      <c r="A8" s="6"/>
    </row>
    <row r="9" spans="1:3" ht="14.7" customHeight="1">
      <c r="A9" s="7" t="s">
        <v>8</v>
      </c>
    </row>
    <row r="10" spans="1:3" ht="14.7" customHeight="1">
      <c r="A10" s="8" t="s">
        <v>9</v>
      </c>
      <c r="B10" s="9">
        <v>7.5</v>
      </c>
      <c r="C10" t="s">
        <v>10</v>
      </c>
    </row>
    <row r="11" ht="14.7" customHeight="1">
      <c r="A11" s="8" t="s">
        <v>11</v>
      </c>
      <c r="B11" s="9">
        <v>8.5</v>
      </c>
      <c r="C11" t="s">
        <v>10</v>
      </c>
      <c r="D11" t="s">
        <v>724</v>
      </c>
    </row>
    <row r="12" spans="1:3" ht="14.7" customHeight="1">
      <c r="A12" s="6"/>
    </row>
    <row r="13" spans="1:3" ht="14.7" customHeight="1">
      <c r="A13" s="7" t="s">
        <v>12</v>
      </c>
    </row>
    <row r="14" ht="14.7" customHeight="1">
      <c r="A14" s="8" t="s">
        <v>13</v>
      </c>
      <c r="B14" s="11">
        <v>8</v>
      </c>
      <c r="C14" t="s">
        <v>14</v>
      </c>
      <c r="D14" t="s">
        <v>725</v>
      </c>
    </row>
    <row r="15" ht="14.7" customHeight="1">
      <c r="A15" s="8" t="s">
        <v>15</v>
      </c>
      <c r="B15" s="10">
        <v>0.03</v>
      </c>
      <c r="C15" t="s">
        <v>16</v>
      </c>
      <c r="D15" t="s">
        <v>726</v>
      </c>
    </row>
    <row r="16" ht="14.7" customHeight="1">
      <c r="A16" s="8" t="s">
        <v>504</v>
      </c>
      <c r="B16" s="120">
        <v>1.2</v>
      </c>
      <c r="C16" t="s">
        <v>728</v>
      </c>
      <c r="D16" t="s">
        <v>727</v>
      </c>
    </row>
    <row r="17" spans="1:12" ht="14.7" customHeight="1">
      <c r="A17" s="6"/>
    </row>
    <row r="18" spans="1:12">
      <c r="E18" s="125">
        <f>SUM(E20:E55)</f>
        <v>21470</v>
      </c>
      <c r="F18" s="124" t="s">
        <v>279</v>
      </c>
      <c r="G18" s="125">
        <f>SUM(G20:G55)</f>
        <v>33582</v>
      </c>
      <c r="H18" t="s">
        <v>1</v>
      </c>
    </row>
    <row r="19" ht="16.8">
      <c r="A19" s="116" t="s">
        <v>31</v>
      </c>
      <c r="B19" s="117" t="s">
        <v>32</v>
      </c>
      <c r="C19" s="117" t="s">
        <v>33</v>
      </c>
      <c r="D19" s="117" t="s">
        <v>34</v>
      </c>
      <c r="E19" s="117" t="s">
        <v>35</v>
      </c>
      <c r="F19" s="117" t="s">
        <v>271</v>
      </c>
      <c r="G19" s="117" t="s">
        <v>36</v>
      </c>
      <c r="H19" s="118" t="s">
        <v>272</v>
      </c>
      <c r="I19" s="117" t="s">
        <v>273</v>
      </c>
      <c r="J19" s="119" t="s">
        <v>277</v>
      </c>
      <c r="K19" s="119" t="s">
        <v>720</v>
      </c>
      <c r="L19" s="117" t="s">
        <v>567</v>
      </c>
    </row>
    <row r="20" ht="16.8">
      <c r="A20" s="109" t="s">
        <v>239</v>
      </c>
      <c r="B20" s="23" t="s">
        <v>22</v>
      </c>
      <c r="C20" s="23" t="s">
        <v>2</v>
      </c>
      <c r="D20" s="23" t="s">
        <v>30</v>
      </c>
      <c r="E20" s="9">
        <v>10616</v>
      </c>
      <c r="F20" s="10">
        <f>Tableau_aoc[[#This Row],[NB_EST]]/$E$18</f>
        <v>0.49445738239403819</v>
      </c>
      <c r="G20" s="9">
        <v>1625</v>
      </c>
      <c r="H20" s="112">
        <f>Tableau_aoc[[#This Row],[SURF_EST]]/$G$18</f>
        <v>4.8389017926270025E-2</v>
      </c>
      <c r="I20" s="113">
        <f>Tableau_aoc[[#This Row],[SURF_EST]]/Tableau_aoc[[#This Row],[NB_EST]]</f>
        <v>0.15307083647324793</v>
      </c>
      <c r="J20" s="122">
        <f>IFERROR(SUMIFS(Tableau_scenarios[Cout_op],Tableau_scenarios[ID_scenario],Tableau_aoc[[#This Row],[SCENARIO]])/Tableau_aoc[[#This Row],[surf_moy (ha)]],0)</f>
      </c>
      <c r="K20" s="123">
        <f>IFERROR(SUMIFS(Tableau_scenarios[Temps_MO_op],Tableau_scenarios[ID_scenario],Tableau_aoc[[#This Row],[SCENARIO]])/Tableau_aoc[[#This Row],[surf_moy (ha)]],0)</f>
      </c>
      <c r="L20" s="139" t="str">
        <f>IF(COUNTIF(Tableau_scenarios[ID_scenario],Tableau_aoc[[#This Row],[SCENARIO]])&gt;0,"✓ Défini","⚠ Non défini")</f>
        <v>⚠ Non défini</v>
      </c>
    </row>
    <row r="21" ht="16.8">
      <c r="A21" s="109" t="s">
        <v>235</v>
      </c>
      <c r="B21" s="23" t="s">
        <v>22</v>
      </c>
      <c r="C21" s="23" t="s">
        <v>2</v>
      </c>
      <c r="D21" s="23" t="s">
        <v>28</v>
      </c>
      <c r="E21" s="9">
        <v>1983</v>
      </c>
      <c r="F21" s="10">
        <f>Tableau_aoc[[#This Row],[NB_EST]]/$E$18</f>
        <v>9.236143455985095E-2</v>
      </c>
      <c r="G21" s="9">
        <v>739</v>
      </c>
      <c r="H21" s="10">
        <f>Tableau_aoc[[#This Row],[SURF_EST]]/$G$18</f>
        <v>2.2005836460008338E-2</v>
      </c>
      <c r="I21" s="113">
        <f>Tableau_aoc[[#This Row],[SURF_EST]]/Tableau_aoc[[#This Row],[NB_EST]]</f>
        <v>0.37266767523953603</v>
      </c>
      <c r="J21" s="122">
        <f>IFERROR(SUMIFS(Tableau_scenarios[Cout_op],Tableau_scenarios[ID_scenario],Tableau_aoc[[#This Row],[SCENARIO]])/Tableau_aoc[[#This Row],[surf_moy (ha)]],0)</f>
      </c>
      <c r="K21" s="123">
        <f>IFERROR(SUMIFS(Tableau_scenarios[Temps_MO_op],Tableau_scenarios[ID_scenario],Tableau_aoc[[#This Row],[SCENARIO]])/Tableau_aoc[[#This Row],[surf_moy (ha)]],0)</f>
      </c>
      <c r="L21" s="123" t="str">
        <f>IF(COUNTIF(Tableau_scenarios[ID_scenario],Tableau_aoc[[#This Row],[SCENARIO]])&gt;0,"✓ Défini","⚠ Non défini")</f>
        <v>⚠ Non défini</v>
      </c>
    </row>
    <row r="22" ht="16.8">
      <c r="A22" s="109" t="s">
        <v>236</v>
      </c>
      <c r="B22" s="23" t="s">
        <v>23</v>
      </c>
      <c r="C22" s="23" t="s">
        <v>2</v>
      </c>
      <c r="D22" s="23" t="s">
        <v>28</v>
      </c>
      <c r="E22" s="9">
        <v>1723</v>
      </c>
      <c r="F22" s="10">
        <f>Tableau_aoc[[#This Row],[NB_EST]]/$E$18</f>
        <v>8.0251513740102462E-2</v>
      </c>
      <c r="G22" s="9">
        <v>4453</v>
      </c>
      <c r="H22" s="112">
        <f>Tableau_aoc[[#This Row],[SURF_EST]]/$G$18</f>
        <v>0.13260079804657257</v>
      </c>
      <c r="I22" s="113">
        <f>Tableau_aoc[[#This Row],[SURF_EST]]/Tableau_aoc[[#This Row],[NB_EST]]</f>
        <v>2.5844457341845617</v>
      </c>
      <c r="J22" s="120">
        <f>IFERROR(SUMIFS(Tableau_scenarios[Cout_op],Tableau_scenarios[ID_scenario],Tableau_aoc[[#This Row],[SCENARIO]])/Tableau_aoc[[#This Row],[surf_moy (ha)]],0)</f>
      </c>
      <c r="K22" s="121">
        <f>IFERROR(SUMIFS(Tableau_scenarios[Temps_MO_op],Tableau_scenarios[ID_scenario],Tableau_aoc[[#This Row],[SCENARIO]])/Tableau_aoc[[#This Row],[surf_moy (ha)]],0)</f>
      </c>
      <c r="L22" s="121" t="str">
        <f>IF(COUNTIF(Tableau_scenarios[ID_scenario],Tableau_aoc[[#This Row],[SCENARIO]])&gt;0,"✓ Défini","⚠ Non défini")</f>
        <v>✓ Défini</v>
      </c>
    </row>
    <row r="23" ht="16.8">
      <c r="A23" s="109" t="s">
        <v>240</v>
      </c>
      <c r="B23" s="23" t="s">
        <v>23</v>
      </c>
      <c r="C23" s="23" t="s">
        <v>2</v>
      </c>
      <c r="D23" s="23" t="s">
        <v>30</v>
      </c>
      <c r="E23" s="9">
        <v>1538</v>
      </c>
      <c r="F23" s="10">
        <f>Tableau_aoc[[#This Row],[NB_EST]]/$E$18</f>
        <v>7.163483931066604E-2</v>
      </c>
      <c r="G23" s="9">
        <v>3514</v>
      </c>
      <c r="H23" s="112">
        <f>Tableau_aoc[[#This Row],[SURF_EST]]/$G$18</f>
        <v>0.10463939014948484</v>
      </c>
      <c r="I23" s="113">
        <f>Tableau_aoc[[#This Row],[SURF_EST]]/Tableau_aoc[[#This Row],[NB_EST]]</f>
        <v>2.2847854356306891</v>
      </c>
      <c r="J23" s="122">
        <f>IFERROR(SUMIFS(Tableau_scenarios[Cout_op],Tableau_scenarios[ID_scenario],Tableau_aoc[[#This Row],[SCENARIO]])/Tableau_aoc[[#This Row],[surf_moy (ha)]],0)</f>
      </c>
      <c r="K23" s="123">
        <f>IFERROR(SUMIFS(Tableau_scenarios[Temps_MO_op],Tableau_scenarios[ID_scenario],Tableau_aoc[[#This Row],[SCENARIO]])/Tableau_aoc[[#This Row],[surf_moy (ha)]],0)</f>
      </c>
      <c r="L23" s="123" t="str">
        <f>IF(COUNTIF(Tableau_scenarios[ID_scenario],Tableau_aoc[[#This Row],[SCENARIO]])&gt;0,"✓ Défini","⚠ Non défini")</f>
        <v>⚠ Non défini</v>
      </c>
    </row>
    <row r="24" ht="16.8">
      <c r="A24" s="109" t="s">
        <v>251</v>
      </c>
      <c r="B24" s="23" t="s">
        <v>22</v>
      </c>
      <c r="C24" s="23" t="s">
        <v>27</v>
      </c>
      <c r="D24" s="23" t="s">
        <v>30</v>
      </c>
      <c r="E24" s="9">
        <v>844</v>
      </c>
      <c r="F24" s="10">
        <f>Tableau_aoc[[#This Row],[NB_EST]]/$E$18</f>
        <v>3.9310666045645086E-2</v>
      </c>
      <c r="G24" s="9">
        <v>272</v>
      </c>
      <c r="H24" s="112">
        <f>Tableau_aoc[[#This Row],[SURF_EST]]/$G$18</f>
        <v>8.0995771544279671E-3</v>
      </c>
      <c r="I24" s="113">
        <f>Tableau_aoc[[#This Row],[SURF_EST]]/Tableau_aoc[[#This Row],[NB_EST]]</f>
        <v>0.32227488151658767</v>
      </c>
      <c r="J24" s="122">
        <f>IFERROR(SUMIFS(Tableau_scenarios[Cout_op],Tableau_scenarios[ID_scenario],Tableau_aoc[[#This Row],[SCENARIO]])/Tableau_aoc[[#This Row],[surf_moy (ha)]],0)</f>
      </c>
      <c r="K24" s="123">
        <f>IFERROR(SUMIFS(Tableau_scenarios[Temps_MO_op],Tableau_scenarios[ID_scenario],Tableau_aoc[[#This Row],[SCENARIO]])/Tableau_aoc[[#This Row],[surf_moy (ha)]],0)</f>
      </c>
      <c r="L24" s="123" t="str">
        <f>IF(COUNTIF(Tableau_scenarios[ID_scenario],Tableau_aoc[[#This Row],[SCENARIO]])&gt;0,"✓ Défini","⚠ Non défini")</f>
        <v>⚠ Non défini</v>
      </c>
    </row>
    <row r="25" ht="16.8">
      <c r="A25" s="109" t="s">
        <v>248</v>
      </c>
      <c r="B25" s="23" t="s">
        <v>23</v>
      </c>
      <c r="C25" s="23" t="s">
        <v>27</v>
      </c>
      <c r="D25" s="23" t="s">
        <v>28</v>
      </c>
      <c r="E25" s="9">
        <v>688</v>
      </c>
      <c r="F25" s="10">
        <f>Tableau_aoc[[#This Row],[NB_EST]]/$E$18</f>
        <v>3.2044713553795998E-2</v>
      </c>
      <c r="G25" s="9">
        <v>1738</v>
      </c>
      <c r="H25" s="112">
        <f>Tableau_aoc[[#This Row],[SURF_EST]]/$G$18</f>
        <v>5.1753915788219883E-2</v>
      </c>
      <c r="I25" s="113">
        <f>Tableau_aoc[[#This Row],[SURF_EST]]/Tableau_aoc[[#This Row],[NB_EST]]</f>
        <v>2.5261627906976742</v>
      </c>
      <c r="J25" s="122">
        <f>IFERROR(SUMIFS(Tableau_scenarios[Cout_op],Tableau_scenarios[ID_scenario],Tableau_aoc[[#This Row],[SCENARIO]])/Tableau_aoc[[#This Row],[surf_moy (ha)]],0)</f>
      </c>
      <c r="K25" s="123">
        <f>IFERROR(SUMIFS(Tableau_scenarios[Temps_MO_op],Tableau_scenarios[ID_scenario],Tableau_aoc[[#This Row],[SCENARIO]])/Tableau_aoc[[#This Row],[surf_moy (ha)]],0)</f>
      </c>
      <c r="L25" s="123" t="str">
        <f>IF(COUNTIF(Tableau_scenarios[ID_scenario],Tableau_aoc[[#This Row],[SCENARIO]])&gt;0,"✓ Défini","⚠ Non défini")</f>
        <v>⚠ Non défini</v>
      </c>
    </row>
    <row r="26" ht="16.8">
      <c r="A26" s="109" t="s">
        <v>237</v>
      </c>
      <c r="B26" s="23" t="s">
        <v>24</v>
      </c>
      <c r="C26" s="23" t="s">
        <v>2</v>
      </c>
      <c r="D26" s="23" t="s">
        <v>28</v>
      </c>
      <c r="E26" s="9">
        <v>638</v>
      </c>
      <c r="F26" s="10">
        <f>Tableau_aoc[[#This Row],[NB_EST]]/$E$18</f>
        <v>2.9715882626921285E-2</v>
      </c>
      <c r="G26" s="9">
        <v>4391</v>
      </c>
      <c r="H26" s="112">
        <f>Tableau_aoc[[#This Row],[SURF_EST]]/$G$18</f>
        <v>0.13075457090107795</v>
      </c>
      <c r="I26" s="113">
        <f>Tableau_aoc[[#This Row],[SURF_EST]]/Tableau_aoc[[#This Row],[NB_EST]]</f>
        <v>6.8824451410658307</v>
      </c>
      <c r="J26" s="122">
        <f>IFERROR(SUMIFS(Tableau_scenarios[Cout_op],Tableau_scenarios[ID_scenario],Tableau_aoc[[#This Row],[SCENARIO]])/Tableau_aoc[[#This Row],[surf_moy (ha)]],0)</f>
      </c>
      <c r="K26" s="123">
        <f>IFERROR(SUMIFS(Tableau_scenarios[Temps_MO_op],Tableau_scenarios[ID_scenario],Tableau_aoc[[#This Row],[SCENARIO]])/Tableau_aoc[[#This Row],[surf_moy (ha)]],0)</f>
      </c>
      <c r="L26" s="123" t="str">
        <f>IF(COUNTIF(Tableau_scenarios[ID_scenario],Tableau_aoc[[#This Row],[SCENARIO]])&gt;0,"✓ Défini","⚠ Non défini")</f>
        <v>⚠ Non défini</v>
      </c>
    </row>
    <row r="27" ht="16.8">
      <c r="A27" s="109" t="s">
        <v>247</v>
      </c>
      <c r="B27" s="23" t="s">
        <v>22</v>
      </c>
      <c r="C27" s="23" t="s">
        <v>27</v>
      </c>
      <c r="D27" s="23" t="s">
        <v>28</v>
      </c>
      <c r="E27" s="9">
        <v>504</v>
      </c>
      <c r="F27" s="10">
        <f>Tableau_aoc[[#This Row],[NB_EST]]/$E$18</f>
        <v>2.3474615742897064E-2</v>
      </c>
      <c r="G27" s="9">
        <v>255</v>
      </c>
      <c r="H27" s="112">
        <f>Tableau_aoc[[#This Row],[SURF_EST]]/$G$18</f>
        <v>7.5933535822762192E-3</v>
      </c>
      <c r="I27" s="113">
        <f>Tableau_aoc[[#This Row],[SURF_EST]]/Tableau_aoc[[#This Row],[NB_EST]]</f>
        <v>0.50595238095238093</v>
      </c>
      <c r="J27" s="122">
        <f>IFERROR(SUMIFS(Tableau_scenarios[Cout_op],Tableau_scenarios[ID_scenario],Tableau_aoc[[#This Row],[SCENARIO]])/Tableau_aoc[[#This Row],[surf_moy (ha)]],0)</f>
      </c>
      <c r="K27" s="123">
        <f>IFERROR(SUMIFS(Tableau_scenarios[Temps_MO_op],Tableau_scenarios[ID_scenario],Tableau_aoc[[#This Row],[SCENARIO]])/Tableau_aoc[[#This Row],[surf_moy (ha)]],0)</f>
      </c>
      <c r="L27" s="123" t="str">
        <f>IF(COUNTIF(Tableau_scenarios[ID_scenario],Tableau_aoc[[#This Row],[SCENARIO]])&gt;0,"✓ Défini","⚠ Non défini")</f>
        <v>⚠ Non défini</v>
      </c>
    </row>
    <row r="28" ht="16.8">
      <c r="A28" s="109" t="s">
        <v>263</v>
      </c>
      <c r="B28" s="23" t="s">
        <v>22</v>
      </c>
      <c r="C28" s="23" t="s">
        <v>26</v>
      </c>
      <c r="D28" s="23" t="s">
        <v>30</v>
      </c>
      <c r="E28" s="9">
        <v>435</v>
      </c>
      <c r="F28" s="10">
        <f>Tableau_aoc[[#This Row],[NB_EST]]/$E$18</f>
        <v>2.0260829063809969E-2</v>
      </c>
      <c r="G28" s="9">
        <v>83</v>
      </c>
      <c r="H28" s="112">
        <f>Tableau_aoc[[#This Row],[SURF_EST]]/$G$18</f>
        <v>2.4715621463879461E-3</v>
      </c>
      <c r="I28" s="113">
        <f>Tableau_aoc[[#This Row],[SURF_EST]]/Tableau_aoc[[#This Row],[NB_EST]]</f>
        <v>0.19080459770114944</v>
      </c>
      <c r="J28" s="122">
        <f>IFERROR(SUMIFS(Tableau_scenarios[Cout_op],Tableau_scenarios[ID_scenario],Tableau_aoc[[#This Row],[SCENARIO]])/Tableau_aoc[[#This Row],[surf_moy (ha)]],0)</f>
      </c>
      <c r="K28" s="123">
        <f>IFERROR(SUMIFS(Tableau_scenarios[Temps_MO_op],Tableau_scenarios[ID_scenario],Tableau_aoc[[#This Row],[SCENARIO]])/Tableau_aoc[[#This Row],[surf_moy (ha)]],0)</f>
      </c>
      <c r="L28" s="123" t="str">
        <f>IF(COUNTIF(Tableau_scenarios[ID_scenario],Tableau_aoc[[#This Row],[SCENARIO]])&gt;0,"✓ Défini","⚠ Non défini")</f>
        <v>⚠ Non défini</v>
      </c>
    </row>
    <row r="29" ht="16.8">
      <c r="A29" s="109" t="s">
        <v>252</v>
      </c>
      <c r="B29" s="23" t="s">
        <v>23</v>
      </c>
      <c r="C29" s="23" t="s">
        <v>27</v>
      </c>
      <c r="D29" s="23" t="s">
        <v>30</v>
      </c>
      <c r="E29" s="9">
        <v>350</v>
      </c>
      <c r="F29" s="10">
        <f>Tableau_aoc[[#This Row],[NB_EST]]/$E$18</f>
        <v>1.6301816488122962E-2</v>
      </c>
      <c r="G29" s="9">
        <v>792</v>
      </c>
      <c r="H29" s="112">
        <f>Tableau_aoc[[#This Row],[SURF_EST]]/$G$18</f>
        <v>2.3584062890834374E-2</v>
      </c>
      <c r="I29" s="113">
        <f>Tableau_aoc[[#This Row],[SURF_EST]]/Tableau_aoc[[#This Row],[NB_EST]]</f>
        <v>2.2628571428571429</v>
      </c>
      <c r="J29" s="122">
        <f>IFERROR(SUMIFS(Tableau_scenarios[Cout_op],Tableau_scenarios[ID_scenario],Tableau_aoc[[#This Row],[SCENARIO]])/Tableau_aoc[[#This Row],[surf_moy (ha)]],0)</f>
      </c>
      <c r="K29" s="123">
        <f>IFERROR(SUMIFS(Tableau_scenarios[Temps_MO_op],Tableau_scenarios[ID_scenario],Tableau_aoc[[#This Row],[SCENARIO]])/Tableau_aoc[[#This Row],[surf_moy (ha)]],0)</f>
      </c>
      <c r="L29" s="123" t="str">
        <f>IF(COUNTIF(Tableau_scenarios[ID_scenario],Tableau_aoc[[#This Row],[SCENARIO]])&gt;0,"✓ Défini","⚠ Non défini")</f>
        <v>⚠ Non défini</v>
      </c>
    </row>
    <row r="30" ht="16.8">
      <c r="A30" s="109" t="s">
        <v>249</v>
      </c>
      <c r="B30" s="23" t="s">
        <v>24</v>
      </c>
      <c r="C30" s="23" t="s">
        <v>27</v>
      </c>
      <c r="D30" s="23" t="s">
        <v>28</v>
      </c>
      <c r="E30" s="9">
        <v>290</v>
      </c>
      <c r="F30" s="10">
        <f>Tableau_aoc[[#This Row],[NB_EST]]/$E$18</f>
        <v>1.3507219375873311E-2</v>
      </c>
      <c r="G30" s="9">
        <v>1990</v>
      </c>
      <c r="H30" s="112">
        <f>Tableau_aoc[[#This Row],[SURF_EST]]/$G$18</f>
        <v>5.9257935798939905E-2</v>
      </c>
      <c r="I30" s="113">
        <f>Tableau_aoc[[#This Row],[SURF_EST]]/Tableau_aoc[[#This Row],[NB_EST]]</f>
        <v>6.8620689655172411</v>
      </c>
      <c r="J30" s="122">
        <f>IFERROR(SUMIFS(Tableau_scenarios[Cout_op],Tableau_scenarios[ID_scenario],Tableau_aoc[[#This Row],[SCENARIO]])/Tableau_aoc[[#This Row],[surf_moy (ha)]],0)</f>
      </c>
      <c r="K30" s="123">
        <f>IFERROR(SUMIFS(Tableau_scenarios[Temps_MO_op],Tableau_scenarios[ID_scenario],Tableau_aoc[[#This Row],[SCENARIO]])/Tableau_aoc[[#This Row],[surf_moy (ha)]],0)</f>
      </c>
      <c r="L30" s="123" t="str">
        <f>IF(COUNTIF(Tableau_scenarios[ID_scenario],Tableau_aoc[[#This Row],[SCENARIO]])&gt;0,"✓ Défini","⚠ Non défini")</f>
        <v>⚠ Non défini</v>
      </c>
    </row>
    <row r="31" ht="16.8">
      <c r="A31" s="109" t="s">
        <v>241</v>
      </c>
      <c r="B31" s="23" t="s">
        <v>24</v>
      </c>
      <c r="C31" s="23" t="s">
        <v>2</v>
      </c>
      <c r="D31" s="23" t="s">
        <v>30</v>
      </c>
      <c r="E31" s="9">
        <v>286</v>
      </c>
      <c r="F31" s="10">
        <f>Tableau_aoc[[#This Row],[NB_EST]]/$E$18</f>
        <v>1.3320912901723336E-2</v>
      </c>
      <c r="G31" s="9">
        <v>1903</v>
      </c>
      <c r="H31" s="112">
        <f>Tableau_aoc[[#This Row],[SURF_EST]]/$G$18</f>
        <v>5.6667262223810376E-2</v>
      </c>
      <c r="I31" s="113">
        <f>Tableau_aoc[[#This Row],[SURF_EST]]/Tableau_aoc[[#This Row],[NB_EST]]</f>
        <v>6.6538461538461542</v>
      </c>
      <c r="J31" s="122">
        <f>IFERROR(SUMIFS(Tableau_scenarios[Cout_op],Tableau_scenarios[ID_scenario],Tableau_aoc[[#This Row],[SCENARIO]])/Tableau_aoc[[#This Row],[surf_moy (ha)]],0)</f>
      </c>
      <c r="K31" s="123">
        <f>IFERROR(SUMIFS(Tableau_scenarios[Temps_MO_op],Tableau_scenarios[ID_scenario],Tableau_aoc[[#This Row],[SCENARIO]])/Tableau_aoc[[#This Row],[surf_moy (ha)]],0)</f>
      </c>
      <c r="L31" s="123" t="str">
        <f>IF(COUNTIF(Tableau_scenarios[ID_scenario],Tableau_aoc[[#This Row],[SCENARIO]])&gt;0,"✓ Défini","⚠ Non défini")</f>
        <v>⚠ Non défini</v>
      </c>
    </row>
    <row r="32" ht="16.8">
      <c r="A32" s="109" t="s">
        <v>260</v>
      </c>
      <c r="B32" s="23" t="s">
        <v>23</v>
      </c>
      <c r="C32" s="23" t="s">
        <v>26</v>
      </c>
      <c r="D32" s="23" t="s">
        <v>28</v>
      </c>
      <c r="E32" s="9">
        <v>201</v>
      </c>
      <c r="F32" s="10">
        <f>Tableau_aoc[[#This Row],[NB_EST]]/$E$18</f>
        <v>9.3619003260363293E-3</v>
      </c>
      <c r="G32" s="9">
        <v>521</v>
      </c>
      <c r="H32" s="112">
        <f>Tableau_aoc[[#This Row],[SURF_EST]]/$G$18</f>
        <v>1.5514263593591805E-2</v>
      </c>
      <c r="I32" s="113">
        <f>Tableau_aoc[[#This Row],[SURF_EST]]/Tableau_aoc[[#This Row],[NB_EST]]</f>
        <v>2.5920398009950247</v>
      </c>
      <c r="J32" s="122">
        <f>IFERROR(SUMIFS(Tableau_scenarios[Cout_op],Tableau_scenarios[ID_scenario],Tableau_aoc[[#This Row],[SCENARIO]])/Tableau_aoc[[#This Row],[surf_moy (ha)]],0)</f>
      </c>
      <c r="K32" s="123">
        <f>IFERROR(SUMIFS(Tableau_scenarios[Temps_MO_op],Tableau_scenarios[ID_scenario],Tableau_aoc[[#This Row],[SCENARIO]])/Tableau_aoc[[#This Row],[surf_moy (ha)]],0)</f>
      </c>
      <c r="L32" s="123" t="str">
        <f>IF(COUNTIF(Tableau_scenarios[ID_scenario],Tableau_aoc[[#This Row],[SCENARIO]])&gt;0,"✓ Défini","⚠ Non défini")</f>
        <v>⚠ Non défini</v>
      </c>
    </row>
    <row r="33" ht="16.8">
      <c r="A33" s="109" t="s">
        <v>244</v>
      </c>
      <c r="B33" s="23" t="s">
        <v>23</v>
      </c>
      <c r="C33" s="23" t="s">
        <v>2</v>
      </c>
      <c r="D33" s="23" t="s">
        <v>29</v>
      </c>
      <c r="E33" s="9">
        <v>177</v>
      </c>
      <c r="F33" s="10">
        <f>Tableau_aoc[[#This Row],[NB_EST]]/$E$18</f>
        <v>8.2440614811364697E-3</v>
      </c>
      <c r="G33" s="9">
        <v>481</v>
      </c>
      <c r="H33" s="112">
        <f>Tableau_aoc[[#This Row],[SURF_EST]]/$G$18</f>
        <v>1.4323149306175927E-2</v>
      </c>
      <c r="I33" s="113">
        <f>Tableau_aoc[[#This Row],[SURF_EST]]/Tableau_aoc[[#This Row],[NB_EST]]</f>
        <v>2.7175141242937855</v>
      </c>
      <c r="J33" s="122">
        <f>IFERROR(SUMIFS(Tableau_scenarios[Cout_op],Tableau_scenarios[ID_scenario],Tableau_aoc[[#This Row],[SCENARIO]])/Tableau_aoc[[#This Row],[surf_moy (ha)]],0)</f>
      </c>
      <c r="K33" s="123">
        <f>IFERROR(SUMIFS(Tableau_scenarios[Temps_MO_op],Tableau_scenarios[ID_scenario],Tableau_aoc[[#This Row],[SCENARIO]])/Tableau_aoc[[#This Row],[surf_moy (ha)]],0)</f>
      </c>
      <c r="L33" s="123" t="str">
        <f>IF(COUNTIF(Tableau_scenarios[ID_scenario],Tableau_aoc[[#This Row],[SCENARIO]])&gt;0,"✓ Défini","⚠ Non défini")</f>
        <v>⚠ Non défini</v>
      </c>
    </row>
    <row r="34" ht="16.8">
      <c r="A34" s="109" t="s">
        <v>238</v>
      </c>
      <c r="B34" s="23" t="s">
        <v>25</v>
      </c>
      <c r="C34" s="23" t="s">
        <v>2</v>
      </c>
      <c r="D34" s="23" t="s">
        <v>28</v>
      </c>
      <c r="E34" s="9">
        <v>170</v>
      </c>
      <c r="F34" s="10">
        <f>Tableau_aoc[[#This Row],[NB_EST]]/$E$18</f>
        <v>7.918025151374011E-3</v>
      </c>
      <c r="G34" s="9">
        <v>4374</v>
      </c>
      <c r="H34" s="112">
        <f>Tableau_aoc[[#This Row],[SURF_EST]]/$G$18</f>
        <v>0.13024834732892621</v>
      </c>
      <c r="I34" s="113">
        <f>Tableau_aoc[[#This Row],[SURF_EST]]/Tableau_aoc[[#This Row],[NB_EST]]</f>
        <v>25.729411764705883</v>
      </c>
      <c r="J34" s="122">
        <f>IFERROR(SUMIFS(Tableau_scenarios[Cout_op],Tableau_scenarios[ID_scenario],Tableau_aoc[[#This Row],[SCENARIO]])/Tableau_aoc[[#This Row],[surf_moy (ha)]],0)</f>
      </c>
      <c r="K34" s="123">
        <f>IFERROR(SUMIFS(Tableau_scenarios[Temps_MO_op],Tableau_scenarios[ID_scenario],Tableau_aoc[[#This Row],[SCENARIO]])/Tableau_aoc[[#This Row],[surf_moy (ha)]],0)</f>
      </c>
      <c r="L34" s="123" t="str">
        <f>IF(COUNTIF(Tableau_scenarios[ID_scenario],Tableau_aoc[[#This Row],[SCENARIO]])&gt;0,"✓ Défini","⚠ Non défini")</f>
        <v>⚠ Non défini</v>
      </c>
    </row>
    <row r="35" ht="16.8">
      <c r="A35" s="109" t="s">
        <v>264</v>
      </c>
      <c r="B35" s="23" t="s">
        <v>23</v>
      </c>
      <c r="C35" s="23" t="s">
        <v>26</v>
      </c>
      <c r="D35" s="23" t="s">
        <v>30</v>
      </c>
      <c r="E35" s="9">
        <v>157</v>
      </c>
      <c r="F35" s="10">
        <f>Tableau_aoc[[#This Row],[NB_EST]]/$E$18</f>
        <v>7.3125291103865861E-3</v>
      </c>
      <c r="G35" s="9">
        <v>395</v>
      </c>
      <c r="H35" s="112">
        <f>Tableau_aoc[[#This Row],[SURF_EST]]/$G$18</f>
        <v>1.1762253588231792E-2</v>
      </c>
      <c r="I35" s="113">
        <f>Tableau_aoc[[#This Row],[SURF_EST]]/Tableau_aoc[[#This Row],[NB_EST]]</f>
        <v>2.515923566878981</v>
      </c>
      <c r="J35" s="122">
        <f>IFERROR(SUMIFS(Tableau_scenarios[Cout_op],Tableau_scenarios[ID_scenario],Tableau_aoc[[#This Row],[SCENARIO]])/Tableau_aoc[[#This Row],[surf_moy (ha)]],0)</f>
      </c>
      <c r="K35" s="123">
        <f>IFERROR(SUMIFS(Tableau_scenarios[Temps_MO_op],Tableau_scenarios[ID_scenario],Tableau_aoc[[#This Row],[SCENARIO]])/Tableau_aoc[[#This Row],[surf_moy (ha)]],0)</f>
      </c>
      <c r="L35" s="123" t="str">
        <f>IF(COUNTIF(Tableau_scenarios[ID_scenario],Tableau_aoc[[#This Row],[SCENARIO]])&gt;0,"✓ Défini","⚠ Non défini")</f>
        <v>⚠ Non défini</v>
      </c>
    </row>
    <row r="36" ht="16.8">
      <c r="A36" s="109" t="s">
        <v>243</v>
      </c>
      <c r="B36" s="23" t="s">
        <v>22</v>
      </c>
      <c r="C36" s="23" t="s">
        <v>2</v>
      </c>
      <c r="D36" s="23" t="s">
        <v>29</v>
      </c>
      <c r="E36" s="9">
        <v>114</v>
      </c>
      <c r="F36" s="10">
        <f>Tableau_aoc[[#This Row],[NB_EST]]/$E$18</f>
        <v>5.3097345132743362E-3</v>
      </c>
      <c r="G36" s="9">
        <v>51</v>
      </c>
      <c r="H36" s="112">
        <f>Tableau_aoc[[#This Row],[SURF_EST]]/$G$18</f>
        <v>1.5186707164552438E-3</v>
      </c>
      <c r="I36" s="113">
        <f>Tableau_aoc[[#This Row],[SURF_EST]]/Tableau_aoc[[#This Row],[NB_EST]]</f>
        <v>0.44736842105263158</v>
      </c>
      <c r="J36" s="122">
        <f>IFERROR(SUMIFS(Tableau_scenarios[Cout_op],Tableau_scenarios[ID_scenario],Tableau_aoc[[#This Row],[SCENARIO]])/Tableau_aoc[[#This Row],[surf_moy (ha)]],0)</f>
      </c>
      <c r="K36" s="123">
        <f>IFERROR(SUMIFS(Tableau_scenarios[Temps_MO_op],Tableau_scenarios[ID_scenario],Tableau_aoc[[#This Row],[SCENARIO]])/Tableau_aoc[[#This Row],[surf_moy (ha)]],0)</f>
      </c>
      <c r="L36" s="123" t="str">
        <f>IF(COUNTIF(Tableau_scenarios[ID_scenario],Tableau_aoc[[#This Row],[SCENARIO]])&gt;0,"✓ Défini","⚠ Non défini")</f>
        <v>⚠ Non défini</v>
      </c>
    </row>
    <row r="37" ht="16.8">
      <c r="A37" s="109" t="s">
        <v>259</v>
      </c>
      <c r="B37" s="23" t="s">
        <v>22</v>
      </c>
      <c r="C37" s="23" t="s">
        <v>26</v>
      </c>
      <c r="D37" s="23" t="s">
        <v>28</v>
      </c>
      <c r="E37" s="9">
        <v>108</v>
      </c>
      <c r="F37" s="10">
        <f>Tableau_aoc[[#This Row],[NB_EST]]/$E$18</f>
        <v>5.0302748020493709E-3</v>
      </c>
      <c r="G37" s="9">
        <v>37</v>
      </c>
      <c r="H37" s="112">
        <f>Tableau_aoc[[#This Row],[SURF_EST]]/$G$18</f>
        <v>1.1017807158596868E-3</v>
      </c>
      <c r="I37" s="113">
        <f>Tableau_aoc[[#This Row],[SURF_EST]]/Tableau_aoc[[#This Row],[NB_EST]]</f>
        <v>0.34259259259259262</v>
      </c>
      <c r="J37" s="122">
        <f>IFERROR(SUMIFS(Tableau_scenarios[Cout_op],Tableau_scenarios[ID_scenario],Tableau_aoc[[#This Row],[SCENARIO]])/Tableau_aoc[[#This Row],[surf_moy (ha)]],0)</f>
      </c>
      <c r="K37" s="123">
        <f>IFERROR(SUMIFS(Tableau_scenarios[Temps_MO_op],Tableau_scenarios[ID_scenario],Tableau_aoc[[#This Row],[SCENARIO]])/Tableau_aoc[[#This Row],[surf_moy (ha)]],0)</f>
      </c>
      <c r="L37" s="123" t="str">
        <f>IF(COUNTIF(Tableau_scenarios[ID_scenario],Tableau_aoc[[#This Row],[SCENARIO]])&gt;0,"✓ Défini","⚠ Non défini")</f>
        <v>⚠ Non défini</v>
      </c>
    </row>
    <row r="38" ht="16.8">
      <c r="A38" s="109" t="s">
        <v>245</v>
      </c>
      <c r="B38" s="23" t="s">
        <v>24</v>
      </c>
      <c r="C38" s="23" t="s">
        <v>2</v>
      </c>
      <c r="D38" s="23" t="s">
        <v>29</v>
      </c>
      <c r="E38" s="9">
        <v>89</v>
      </c>
      <c r="F38" s="10">
        <f>Tableau_aoc[[#This Row],[NB_EST]]/$E$18</f>
        <v>4.1453190498369815E-3</v>
      </c>
      <c r="G38" s="9">
        <v>612</v>
      </c>
      <c r="H38" s="112">
        <f>Tableau_aoc[[#This Row],[SURF_EST]]/$G$18</f>
        <v>1.8224048597462926E-2</v>
      </c>
      <c r="I38" s="113">
        <f>Tableau_aoc[[#This Row],[SURF_EST]]/Tableau_aoc[[#This Row],[NB_EST]]</f>
        <v>6.8764044943820224</v>
      </c>
      <c r="J38" s="122">
        <f>IFERROR(SUMIFS(Tableau_scenarios[Cout_op],Tableau_scenarios[ID_scenario],Tableau_aoc[[#This Row],[SCENARIO]])/Tableau_aoc[[#This Row],[surf_moy (ha)]],0)</f>
      </c>
      <c r="K38" s="123">
        <f>IFERROR(SUMIFS(Tableau_scenarios[Temps_MO_op],Tableau_scenarios[ID_scenario],Tableau_aoc[[#This Row],[SCENARIO]])/Tableau_aoc[[#This Row],[surf_moy (ha)]],0)</f>
      </c>
      <c r="L38" s="123" t="str">
        <f>IF(COUNTIF(Tableau_scenarios[ID_scenario],Tableau_aoc[[#This Row],[SCENARIO]])&gt;0,"✓ Défini","⚠ Non défini")</f>
        <v>⚠ Non défini</v>
      </c>
    </row>
    <row r="39" ht="16.8">
      <c r="A39" s="109" t="s">
        <v>261</v>
      </c>
      <c r="B39" s="23" t="s">
        <v>24</v>
      </c>
      <c r="C39" s="23" t="s">
        <v>26</v>
      </c>
      <c r="D39" s="23" t="s">
        <v>28</v>
      </c>
      <c r="E39" s="9">
        <v>88</v>
      </c>
      <c r="F39" s="10">
        <f>Tableau_aoc[[#This Row],[NB_EST]]/$E$18</f>
        <v>4.0987424312994873E-3</v>
      </c>
      <c r="G39" s="9">
        <v>639</v>
      </c>
      <c r="H39" s="112">
        <f>Tableau_aoc[[#This Row],[SURF_EST]]/$G$18</f>
        <v>1.9028050741468645E-2</v>
      </c>
      <c r="I39" s="113">
        <f>Tableau_aoc[[#This Row],[SURF_EST]]/Tableau_aoc[[#This Row],[NB_EST]]</f>
        <v>7.2613636363636367</v>
      </c>
      <c r="J39" s="122">
        <f>IFERROR(SUMIFS(Tableau_scenarios[Cout_op],Tableau_scenarios[ID_scenario],Tableau_aoc[[#This Row],[SCENARIO]])/Tableau_aoc[[#This Row],[surf_moy (ha)]],0)</f>
      </c>
      <c r="K39" s="123">
        <f>IFERROR(SUMIFS(Tableau_scenarios[Temps_MO_op],Tableau_scenarios[ID_scenario],Tableau_aoc[[#This Row],[SCENARIO]])/Tableau_aoc[[#This Row],[surf_moy (ha)]],0)</f>
      </c>
      <c r="L39" s="123" t="str">
        <f>IF(COUNTIF(Tableau_scenarios[ID_scenario],Tableau_aoc[[#This Row],[SCENARIO]])&gt;0,"✓ Défini","⚠ Non défini")</f>
        <v>⚠ Non défini</v>
      </c>
    </row>
    <row r="40" ht="16.8">
      <c r="A40" s="109" t="s">
        <v>253</v>
      </c>
      <c r="B40" s="23" t="s">
        <v>24</v>
      </c>
      <c r="C40" s="23" t="s">
        <v>27</v>
      </c>
      <c r="D40" s="23" t="s">
        <v>30</v>
      </c>
      <c r="E40" s="9">
        <v>72</v>
      </c>
      <c r="F40" s="10">
        <f>Tableau_aoc[[#This Row],[NB_EST]]/$E$18</f>
        <v>3.353516534699581E-3</v>
      </c>
      <c r="G40" s="9">
        <v>472</v>
      </c>
      <c r="H40" s="112">
        <f>Tableau_aoc[[#This Row],[SURF_EST]]/$G$18</f>
        <v>1.4055148591507355E-2</v>
      </c>
      <c r="I40" s="113">
        <f>Tableau_aoc[[#This Row],[SURF_EST]]/Tableau_aoc[[#This Row],[NB_EST]]</f>
        <v>6.5555555555555554</v>
      </c>
      <c r="J40" s="122">
        <f>IFERROR(SUMIFS(Tableau_scenarios[Cout_op],Tableau_scenarios[ID_scenario],Tableau_aoc[[#This Row],[SCENARIO]])/Tableau_aoc[[#This Row],[surf_moy (ha)]],0)</f>
      </c>
      <c r="K40" s="123">
        <f>IFERROR(SUMIFS(Tableau_scenarios[Temps_MO_op],Tableau_scenarios[ID_scenario],Tableau_aoc[[#This Row],[SCENARIO]])/Tableau_aoc[[#This Row],[surf_moy (ha)]],0)</f>
      </c>
      <c r="L40" s="123" t="str">
        <f>IF(COUNTIF(Tableau_scenarios[ID_scenario],Tableau_aoc[[#This Row],[SCENARIO]])&gt;0,"✓ Défini","⚠ Non défini")</f>
        <v>⚠ Non défini</v>
      </c>
    </row>
    <row r="41" ht="16.8">
      <c r="A41" s="109" t="s">
        <v>250</v>
      </c>
      <c r="B41" s="23" t="s">
        <v>25</v>
      </c>
      <c r="C41" s="23" t="s">
        <v>27</v>
      </c>
      <c r="D41" s="23" t="s">
        <v>28</v>
      </c>
      <c r="E41" s="9">
        <v>69</v>
      </c>
      <c r="F41" s="10">
        <f>Tableau_aoc[[#This Row],[NB_EST]]/$E$18</f>
        <v>3.2137866790870983E-3</v>
      </c>
      <c r="G41" s="9">
        <v>1040</v>
      </c>
      <c r="H41" s="112">
        <f>Tableau_aoc[[#This Row],[SURF_EST]]/$G$18</f>
        <v>3.0968971472812818E-2</v>
      </c>
      <c r="I41" s="113">
        <f>Tableau_aoc[[#This Row],[SURF_EST]]/Tableau_aoc[[#This Row],[NB_EST]]</f>
        <v>15.072463768115941</v>
      </c>
      <c r="J41" s="122">
        <f>IFERROR(SUMIFS(Tableau_scenarios[Cout_op],Tableau_scenarios[ID_scenario],Tableau_aoc[[#This Row],[SCENARIO]])/Tableau_aoc[[#This Row],[surf_moy (ha)]],0)</f>
      </c>
      <c r="K41" s="123">
        <f>IFERROR(SUMIFS(Tableau_scenarios[Temps_MO_op],Tableau_scenarios[ID_scenario],Tableau_aoc[[#This Row],[SCENARIO]])/Tableau_aoc[[#This Row],[surf_moy (ha)]],0)</f>
      </c>
      <c r="L41" s="123" t="str">
        <f>IF(COUNTIF(Tableau_scenarios[ID_scenario],Tableau_aoc[[#This Row],[SCENARIO]])&gt;0,"✓ Défini","⚠ Non défini")</f>
        <v>⚠ Non défini</v>
      </c>
    </row>
    <row r="42" ht="16.8">
      <c r="A42" s="109" t="s">
        <v>242</v>
      </c>
      <c r="B42" s="23" t="s">
        <v>25</v>
      </c>
      <c r="C42" s="23" t="s">
        <v>2</v>
      </c>
      <c r="D42" s="23" t="s">
        <v>30</v>
      </c>
      <c r="E42" s="9">
        <v>60</v>
      </c>
      <c r="F42" s="10">
        <f>Tableau_aoc[[#This Row],[NB_EST]]/$E$18</f>
        <v>2.7945971122496508E-3</v>
      </c>
      <c r="G42" s="9">
        <v>976</v>
      </c>
      <c r="H42" s="112">
        <f>Tableau_aoc[[#This Row],[SURF_EST]]/$G$18</f>
        <v>2.9063188612947412E-2</v>
      </c>
      <c r="I42" s="113">
        <f>Tableau_aoc[[#This Row],[SURF_EST]]/Tableau_aoc[[#This Row],[NB_EST]]</f>
        <v>16.266666666666666</v>
      </c>
      <c r="J42" s="122">
        <f>IFERROR(SUMIFS(Tableau_scenarios[Cout_op],Tableau_scenarios[ID_scenario],Tableau_aoc[[#This Row],[SCENARIO]])/Tableau_aoc[[#This Row],[surf_moy (ha)]],0)</f>
      </c>
      <c r="K42" s="123">
        <f>IFERROR(SUMIFS(Tableau_scenarios[Temps_MO_op],Tableau_scenarios[ID_scenario],Tableau_aoc[[#This Row],[SCENARIO]])/Tableau_aoc[[#This Row],[surf_moy (ha)]],0)</f>
      </c>
      <c r="L42" s="123" t="str">
        <f>IF(COUNTIF(Tableau_scenarios[ID_scenario],Tableau_aoc[[#This Row],[SCENARIO]])&gt;0,"✓ Défini","⚠ Non défini")</f>
        <v>⚠ Non défini</v>
      </c>
    </row>
    <row r="43" ht="16.8">
      <c r="A43" s="109" t="s">
        <v>256</v>
      </c>
      <c r="B43" s="23" t="s">
        <v>23</v>
      </c>
      <c r="C43" s="23" t="s">
        <v>27</v>
      </c>
      <c r="D43" s="23" t="s">
        <v>29</v>
      </c>
      <c r="E43" s="9">
        <v>54</v>
      </c>
      <c r="F43" s="10">
        <f>Tableau_aoc[[#This Row],[NB_EST]]/$E$18</f>
        <v>2.5151374010246854E-3</v>
      </c>
      <c r="G43" s="9">
        <v>131</v>
      </c>
      <c r="H43" s="112">
        <f>Tableau_aoc[[#This Row],[SURF_EST]]/$G$18</f>
        <v>3.9008992912869991E-3</v>
      </c>
      <c r="I43" s="113">
        <f>Tableau_aoc[[#This Row],[SURF_EST]]/Tableau_aoc[[#This Row],[NB_EST]]</f>
        <v>2.425925925925926</v>
      </c>
      <c r="J43" s="122">
        <f>IFERROR(SUMIFS(Tableau_scenarios[Cout_op],Tableau_scenarios[ID_scenario],Tableau_aoc[[#This Row],[SCENARIO]])/Tableau_aoc[[#This Row],[surf_moy (ha)]],0)</f>
      </c>
      <c r="K43" s="123">
        <f>IFERROR(SUMIFS(Tableau_scenarios[Temps_MO_op],Tableau_scenarios[ID_scenario],Tableau_aoc[[#This Row],[SCENARIO]])/Tableau_aoc[[#This Row],[surf_moy (ha)]],0)</f>
      </c>
      <c r="L43" s="123" t="str">
        <f>IF(COUNTIF(Tableau_scenarios[ID_scenario],Tableau_aoc[[#This Row],[SCENARIO]])&gt;0,"✓ Défini","⚠ Non défini")</f>
        <v>⚠ Non défini</v>
      </c>
    </row>
    <row r="44" ht="16.8">
      <c r="A44" s="109" t="s">
        <v>246</v>
      </c>
      <c r="B44" s="23" t="s">
        <v>25</v>
      </c>
      <c r="C44" s="23" t="s">
        <v>2</v>
      </c>
      <c r="D44" s="23" t="s">
        <v>29</v>
      </c>
      <c r="E44" s="9">
        <v>37</v>
      </c>
      <c r="F44" s="10">
        <f>Tableau_aoc[[#This Row],[NB_EST]]/$E$18</f>
        <v>1.7233348858872845E-3</v>
      </c>
      <c r="G44" s="9">
        <v>683</v>
      </c>
      <c r="H44" s="112">
        <f>Tableau_aoc[[#This Row],[SURF_EST]]/$G$18</f>
        <v>2.033827645762611E-2</v>
      </c>
      <c r="I44" s="113">
        <f>Tableau_aoc[[#This Row],[SURF_EST]]/Tableau_aoc[[#This Row],[NB_EST]]</f>
        <v>18.45945945945946</v>
      </c>
      <c r="J44" s="122">
        <f>IFERROR(SUMIFS(Tableau_scenarios[Cout_op],Tableau_scenarios[ID_scenario],Tableau_aoc[[#This Row],[SCENARIO]])/Tableau_aoc[[#This Row],[surf_moy (ha)]],0)</f>
      </c>
      <c r="K44" s="123">
        <f>IFERROR(SUMIFS(Tableau_scenarios[Temps_MO_op],Tableau_scenarios[ID_scenario],Tableau_aoc[[#This Row],[SCENARIO]])/Tableau_aoc[[#This Row],[surf_moy (ha)]],0)</f>
      </c>
      <c r="L44" s="123" t="str">
        <f>IF(COUNTIF(Tableau_scenarios[ID_scenario],Tableau_aoc[[#This Row],[SCENARIO]])&gt;0,"✓ Défini","⚠ Non défini")</f>
        <v>⚠ Non défini</v>
      </c>
    </row>
    <row r="45" ht="16.8">
      <c r="A45" s="109" t="s">
        <v>265</v>
      </c>
      <c r="B45" s="23" t="s">
        <v>24</v>
      </c>
      <c r="C45" s="23" t="s">
        <v>26</v>
      </c>
      <c r="D45" s="23" t="s">
        <v>30</v>
      </c>
      <c r="E45" s="9">
        <v>36</v>
      </c>
      <c r="F45" s="10">
        <f>Tableau_aoc[[#This Row],[NB_EST]]/$E$18</f>
        <v>1.6767582673497905E-3</v>
      </c>
      <c r="G45" s="9">
        <v>229</v>
      </c>
      <c r="H45" s="112">
        <f>Tableau_aoc[[#This Row],[SURF_EST]]/$G$18</f>
        <v>6.8191292954558986E-3</v>
      </c>
      <c r="I45" s="113">
        <f>Tableau_aoc[[#This Row],[SURF_EST]]/Tableau_aoc[[#This Row],[NB_EST]]</f>
        <v>6.3611111111111107</v>
      </c>
      <c r="J45" s="122">
        <f>IFERROR(SUMIFS(Tableau_scenarios[Cout_op],Tableau_scenarios[ID_scenario],Tableau_aoc[[#This Row],[SCENARIO]])/Tableau_aoc[[#This Row],[surf_moy (ha)]],0)</f>
      </c>
      <c r="K45" s="123">
        <f>IFERROR(SUMIFS(Tableau_scenarios[Temps_MO_op],Tableau_scenarios[ID_scenario],Tableau_aoc[[#This Row],[SCENARIO]])/Tableau_aoc[[#This Row],[surf_moy (ha)]],0)</f>
      </c>
      <c r="L45" s="123" t="str">
        <f>IF(COUNTIF(Tableau_scenarios[ID_scenario],Tableau_aoc[[#This Row],[SCENARIO]])&gt;0,"✓ Défini","⚠ Non défini")</f>
        <v>⚠ Non défini</v>
      </c>
    </row>
    <row r="46" ht="16.8">
      <c r="A46" s="109" t="s">
        <v>255</v>
      </c>
      <c r="B46" s="23" t="s">
        <v>22</v>
      </c>
      <c r="C46" s="23" t="s">
        <v>27</v>
      </c>
      <c r="D46" s="23" t="s">
        <v>29</v>
      </c>
      <c r="E46" s="9">
        <v>30</v>
      </c>
      <c r="F46" s="10">
        <f>Tableau_aoc[[#This Row],[NB_EST]]/$E$18</f>
        <v>1.3972985561248254E-3</v>
      </c>
      <c r="G46" s="9">
        <v>19</v>
      </c>
      <c r="H46" s="112">
        <f>Tableau_aoc[[#This Row],[SURF_EST]]/$G$18</f>
        <v>5.6577928652254189E-4</v>
      </c>
      <c r="I46" s="113">
        <f>Tableau_aoc[[#This Row],[SURF_EST]]/Tableau_aoc[[#This Row],[NB_EST]]</f>
        <v>0.6333333333333333</v>
      </c>
      <c r="J46" s="122">
        <f>IFERROR(SUMIFS(Tableau_scenarios[Cout_op],Tableau_scenarios[ID_scenario],Tableau_aoc[[#This Row],[SCENARIO]])/Tableau_aoc[[#This Row],[surf_moy (ha)]],0)</f>
      </c>
      <c r="K46" s="123">
        <f>IFERROR(SUMIFS(Tableau_scenarios[Temps_MO_op],Tableau_scenarios[ID_scenario],Tableau_aoc[[#This Row],[SCENARIO]])/Tableau_aoc[[#This Row],[surf_moy (ha)]],0)</f>
      </c>
      <c r="L46" s="123" t="str">
        <f>IF(COUNTIF(Tableau_scenarios[ID_scenario],Tableau_aoc[[#This Row],[SCENARIO]])&gt;0,"✓ Défini","⚠ Non défini")</f>
        <v>⚠ Non défini</v>
      </c>
    </row>
    <row r="47" ht="16.8">
      <c r="A47" s="109" t="s">
        <v>257</v>
      </c>
      <c r="B47" s="23" t="s">
        <v>24</v>
      </c>
      <c r="C47" s="23" t="s">
        <v>27</v>
      </c>
      <c r="D47" s="23" t="s">
        <v>29</v>
      </c>
      <c r="E47" s="9">
        <v>22</v>
      </c>
      <c r="F47" s="10">
        <f>Tableau_aoc[[#This Row],[NB_EST]]/$E$18</f>
        <v>1.0246856078248718E-3</v>
      </c>
      <c r="G47" s="9">
        <v>161</v>
      </c>
      <c r="H47" s="112">
        <f>Tableau_aoc[[#This Row],[SURF_EST]]/$G$18</f>
        <v>4.7942350068489068E-3</v>
      </c>
      <c r="I47" s="113">
        <f>Tableau_aoc[[#This Row],[SURF_EST]]/Tableau_aoc[[#This Row],[NB_EST]]</f>
        <v>7.3181818181818183</v>
      </c>
      <c r="J47" s="122">
        <f>IFERROR(SUMIFS(Tableau_scenarios[Cout_op],Tableau_scenarios[ID_scenario],Tableau_aoc[[#This Row],[SCENARIO]])/Tableau_aoc[[#This Row],[surf_moy (ha)]],0)</f>
      </c>
      <c r="K47" s="123">
        <f>IFERROR(SUMIFS(Tableau_scenarios[Temps_MO_op],Tableau_scenarios[ID_scenario],Tableau_aoc[[#This Row],[SCENARIO]])/Tableau_aoc[[#This Row],[surf_moy (ha)]],0)</f>
      </c>
      <c r="L47" s="123" t="str">
        <f>IF(COUNTIF(Tableau_scenarios[ID_scenario],Tableau_aoc[[#This Row],[SCENARIO]])&gt;0,"✓ Défini","⚠ Non défini")</f>
        <v>⚠ Non défini</v>
      </c>
    </row>
    <row r="48" ht="16.8">
      <c r="A48" s="109" t="s">
        <v>262</v>
      </c>
      <c r="B48" s="23" t="s">
        <v>25</v>
      </c>
      <c r="C48" s="23" t="s">
        <v>26</v>
      </c>
      <c r="D48" s="23" t="s">
        <v>28</v>
      </c>
      <c r="E48" s="9">
        <v>21</v>
      </c>
      <c r="F48" s="10">
        <f>Tableau_aoc[[#This Row],[NB_EST]]/$E$18</f>
        <v>9.7810898928737781E-4</v>
      </c>
      <c r="G48" s="9">
        <v>329</v>
      </c>
      <c r="H48" s="112">
        <f>Tableau_aoc[[#This Row],[SURF_EST]]/$G$18</f>
        <v>9.7969150139955927E-3</v>
      </c>
      <c r="I48" s="113">
        <f>Tableau_aoc[[#This Row],[SURF_EST]]/Tableau_aoc[[#This Row],[NB_EST]]</f>
        <v>15.666666666666666</v>
      </c>
      <c r="J48" s="122">
        <f>IFERROR(SUMIFS(Tableau_scenarios[Cout_op],Tableau_scenarios[ID_scenario],Tableau_aoc[[#This Row],[SCENARIO]])/Tableau_aoc[[#This Row],[surf_moy (ha)]],0)</f>
      </c>
      <c r="K48" s="123">
        <f>IFERROR(SUMIFS(Tableau_scenarios[Temps_MO_op],Tableau_scenarios[ID_scenario],Tableau_aoc[[#This Row],[SCENARIO]])/Tableau_aoc[[#This Row],[surf_moy (ha)]],0)</f>
      </c>
      <c r="L48" s="123" t="str">
        <f>IF(COUNTIF(Tableau_scenarios[ID_scenario],Tableau_aoc[[#This Row],[SCENARIO]])&gt;0,"✓ Défini","⚠ Non défini")</f>
        <v>⚠ Non défini</v>
      </c>
    </row>
    <row r="49" ht="16.8">
      <c r="A49" s="109" t="s">
        <v>254</v>
      </c>
      <c r="B49" s="23" t="s">
        <v>25</v>
      </c>
      <c r="C49" s="23" t="s">
        <v>27</v>
      </c>
      <c r="D49" s="23" t="s">
        <v>30</v>
      </c>
      <c r="E49" s="9">
        <v>15</v>
      </c>
      <c r="F49" s="10">
        <f>Tableau_aoc[[#This Row],[NB_EST]]/$E$18</f>
        <v>6.9864927806241269E-4</v>
      </c>
      <c r="G49" s="9">
        <v>202</v>
      </c>
      <c r="H49" s="112">
        <f>Tableau_aoc[[#This Row],[SURF_EST]]/$G$18</f>
        <v>6.0151271514501817E-3</v>
      </c>
      <c r="I49" s="113">
        <f>Tableau_aoc[[#This Row],[SURF_EST]]/Tableau_aoc[[#This Row],[NB_EST]]</f>
        <v>13.466666666666667</v>
      </c>
      <c r="J49" s="122">
        <f>IFERROR(SUMIFS(Tableau_scenarios[Cout_op],Tableau_scenarios[ID_scenario],Tableau_aoc[[#This Row],[SCENARIO]])/Tableau_aoc[[#This Row],[surf_moy (ha)]],0)</f>
      </c>
      <c r="K49" s="123">
        <f>IFERROR(SUMIFS(Tableau_scenarios[Temps_MO_op],Tableau_scenarios[ID_scenario],Tableau_aoc[[#This Row],[SCENARIO]])/Tableau_aoc[[#This Row],[surf_moy (ha)]],0)</f>
      </c>
      <c r="L49" s="123" t="str">
        <f>IF(COUNTIF(Tableau_scenarios[ID_scenario],Tableau_aoc[[#This Row],[SCENARIO]])&gt;0,"✓ Défini","⚠ Non défini")</f>
        <v>⚠ Non défini</v>
      </c>
    </row>
    <row r="50" ht="16.8">
      <c r="A50" s="109" t="s">
        <v>269</v>
      </c>
      <c r="B50" s="23" t="s">
        <v>24</v>
      </c>
      <c r="C50" s="23" t="s">
        <v>26</v>
      </c>
      <c r="D50" s="23" t="s">
        <v>29</v>
      </c>
      <c r="E50" s="9">
        <v>11</v>
      </c>
      <c r="F50" s="10">
        <f>Tableau_aoc[[#This Row],[NB_EST]]/$E$18</f>
        <v>5.1234280391243591E-4</v>
      </c>
      <c r="G50" s="9">
        <v>75</v>
      </c>
      <c r="H50" s="112">
        <f>Tableau_aoc[[#This Row],[SURF_EST]]/$G$18</f>
        <v>2.2333392889047703E-3</v>
      </c>
      <c r="I50" s="113">
        <f>Tableau_aoc[[#This Row],[SURF_EST]]/Tableau_aoc[[#This Row],[NB_EST]]</f>
        <v>6.8181818181818183</v>
      </c>
      <c r="J50" s="122">
        <f>IFERROR(SUMIFS(Tableau_scenarios[Cout_op],Tableau_scenarios[ID_scenario],Tableau_aoc[[#This Row],[SCENARIO]])/Tableau_aoc[[#This Row],[surf_moy (ha)]],0)</f>
      </c>
      <c r="K50" s="123">
        <f>IFERROR(SUMIFS(Tableau_scenarios[Temps_MO_op],Tableau_scenarios[ID_scenario],Tableau_aoc[[#This Row],[SCENARIO]])/Tableau_aoc[[#This Row],[surf_moy (ha)]],0)</f>
      </c>
      <c r="L50" s="123" t="str">
        <f>IF(COUNTIF(Tableau_scenarios[ID_scenario],Tableau_aoc[[#This Row],[SCENARIO]])&gt;0,"✓ Défini","⚠ Non défini")</f>
        <v>⚠ Non défini</v>
      </c>
    </row>
    <row r="51" ht="16.8">
      <c r="A51" s="109" t="s">
        <v>268</v>
      </c>
      <c r="B51" s="23" t="s">
        <v>23</v>
      </c>
      <c r="C51" s="23" t="s">
        <v>26</v>
      </c>
      <c r="D51" s="23" t="s">
        <v>29</v>
      </c>
      <c r="E51" s="9">
        <v>11</v>
      </c>
      <c r="F51" s="10">
        <f>Tableau_aoc[[#This Row],[NB_EST]]/$E$18</f>
        <v>5.1234280391243591E-4</v>
      </c>
      <c r="G51" s="9">
        <v>32</v>
      </c>
      <c r="H51" s="112">
        <f>Tableau_aoc[[#This Row],[SURF_EST]]/$G$18</f>
        <v>9.5289142993270205E-4</v>
      </c>
      <c r="I51" s="113">
        <f>Tableau_aoc[[#This Row],[SURF_EST]]/Tableau_aoc[[#This Row],[NB_EST]]</f>
        <v>2.9090909090909092</v>
      </c>
      <c r="J51" s="122">
        <f>IFERROR(SUMIFS(Tableau_scenarios[Cout_op],Tableau_scenarios[ID_scenario],Tableau_aoc[[#This Row],[SCENARIO]])/Tableau_aoc[[#This Row],[surf_moy (ha)]],0)</f>
      </c>
      <c r="K51" s="123">
        <f>IFERROR(SUMIFS(Tableau_scenarios[Temps_MO_op],Tableau_scenarios[ID_scenario],Tableau_aoc[[#This Row],[SCENARIO]])/Tableau_aoc[[#This Row],[surf_moy (ha)]],0)</f>
      </c>
      <c r="L51" s="123" t="str">
        <f>IF(COUNTIF(Tableau_scenarios[ID_scenario],Tableau_aoc[[#This Row],[SCENARIO]])&gt;0,"✓ Défini","⚠ Non défini")</f>
        <v>⚠ Non défini</v>
      </c>
    </row>
    <row r="52" ht="16.8">
      <c r="A52" s="109" t="s">
        <v>266</v>
      </c>
      <c r="B52" s="23" t="s">
        <v>25</v>
      </c>
      <c r="C52" s="23" t="s">
        <v>26</v>
      </c>
      <c r="D52" s="23" t="s">
        <v>30</v>
      </c>
      <c r="E52" s="9">
        <v>10</v>
      </c>
      <c r="F52" s="10">
        <f>Tableau_aoc[[#This Row],[NB_EST]]/$E$18</f>
        <v>4.657661853749418E-4</v>
      </c>
      <c r="G52" s="9">
        <v>153</v>
      </c>
      <c r="H52" s="112">
        <f>Tableau_aoc[[#This Row],[SURF_EST]]/$G$18</f>
        <v>4.5560121493657315E-3</v>
      </c>
      <c r="I52" s="113">
        <f>Tableau_aoc[[#This Row],[SURF_EST]]/Tableau_aoc[[#This Row],[NB_EST]]</f>
        <v>15.3</v>
      </c>
      <c r="J52" s="122">
        <f>IFERROR(SUMIFS(Tableau_scenarios[Cout_op],Tableau_scenarios[ID_scenario],Tableau_aoc[[#This Row],[SCENARIO]])/Tableau_aoc[[#This Row],[surf_moy (ha)]],0)</f>
      </c>
      <c r="K52" s="123">
        <f>IFERROR(SUMIFS(Tableau_scenarios[Temps_MO_op],Tableau_scenarios[ID_scenario],Tableau_aoc[[#This Row],[SCENARIO]])/Tableau_aoc[[#This Row],[surf_moy (ha)]],0)</f>
      </c>
      <c r="L52" s="123" t="str">
        <f>IF(COUNTIF(Tableau_scenarios[ID_scenario],Tableau_aoc[[#This Row],[SCENARIO]])&gt;0,"✓ Défini","⚠ Non défini")</f>
        <v>⚠ Non défini</v>
      </c>
    </row>
    <row r="53" ht="16.8">
      <c r="A53" s="109" t="s">
        <v>258</v>
      </c>
      <c r="B53" s="23" t="s">
        <v>25</v>
      </c>
      <c r="C53" s="23" t="s">
        <v>27</v>
      </c>
      <c r="D53" s="23" t="s">
        <v>29</v>
      </c>
      <c r="E53" s="9">
        <v>10</v>
      </c>
      <c r="F53" s="10">
        <f>Tableau_aoc[[#This Row],[NB_EST]]/$E$18</f>
        <v>4.657661853749418E-4</v>
      </c>
      <c r="G53" s="9">
        <v>147</v>
      </c>
      <c r="H53" s="112">
        <f>Tableau_aoc[[#This Row],[SURF_EST]]/$G$18</f>
        <v>4.3773450062533498E-3</v>
      </c>
      <c r="I53" s="113">
        <f>Tableau_aoc[[#This Row],[SURF_EST]]/Tableau_aoc[[#This Row],[NB_EST]]</f>
        <v>14.7</v>
      </c>
      <c r="J53" s="122">
        <f>IFERROR(SUMIFS(Tableau_scenarios[Cout_op],Tableau_scenarios[ID_scenario],Tableau_aoc[[#This Row],[SCENARIO]])/Tableau_aoc[[#This Row],[surf_moy (ha)]],0)</f>
      </c>
      <c r="K53" s="123">
        <f>IFERROR(SUMIFS(Tableau_scenarios[Temps_MO_op],Tableau_scenarios[ID_scenario],Tableau_aoc[[#This Row],[SCENARIO]])/Tableau_aoc[[#This Row],[surf_moy (ha)]],0)</f>
      </c>
      <c r="L53" s="123" t="str">
        <f>IF(COUNTIF(Tableau_scenarios[ID_scenario],Tableau_aoc[[#This Row],[SCENARIO]])&gt;0,"✓ Défini","⚠ Non défini")</f>
        <v>⚠ Non défini</v>
      </c>
    </row>
    <row r="54" ht="16.8">
      <c r="A54" s="109" t="s">
        <v>267</v>
      </c>
      <c r="B54" s="23" t="s">
        <v>22</v>
      </c>
      <c r="C54" s="23" t="s">
        <v>26</v>
      </c>
      <c r="D54" s="23" t="s">
        <v>29</v>
      </c>
      <c r="E54" s="9">
        <v>9</v>
      </c>
      <c r="F54" s="10">
        <f>Tableau_aoc[[#This Row],[NB_EST]]/$E$18</f>
        <v>4.1918956683744763E-4</v>
      </c>
      <c r="G54" s="9">
        <v>4</v>
      </c>
      <c r="H54" s="112">
        <f>Tableau_aoc[[#This Row],[SURF_EST]]/$G$18</f>
        <v>1.1911142874158776E-4</v>
      </c>
      <c r="I54" s="113">
        <f>Tableau_aoc[[#This Row],[SURF_EST]]/Tableau_aoc[[#This Row],[NB_EST]]</f>
        <v>0.44444444444444442</v>
      </c>
      <c r="J54" s="122">
        <f>IFERROR(SUMIFS(Tableau_scenarios[Cout_op],Tableau_scenarios[ID_scenario],Tableau_aoc[[#This Row],[SCENARIO]])/Tableau_aoc[[#This Row],[surf_moy (ha)]],0)</f>
      </c>
      <c r="K54" s="123">
        <f>IFERROR(SUMIFS(Tableau_scenarios[Temps_MO_op],Tableau_scenarios[ID_scenario],Tableau_aoc[[#This Row],[SCENARIO]])/Tableau_aoc[[#This Row],[surf_moy (ha)]],0)</f>
      </c>
      <c r="L54" s="123" t="str">
        <f>IF(COUNTIF(Tableau_scenarios[ID_scenario],Tableau_aoc[[#This Row],[SCENARIO]])&gt;0,"✓ Défini","⚠ Non défini")</f>
        <v>⚠ Non défini</v>
      </c>
    </row>
    <row r="55" ht="16.8">
      <c r="A55" s="110" t="s">
        <v>270</v>
      </c>
      <c r="B55" s="111" t="s">
        <v>25</v>
      </c>
      <c r="C55" s="111" t="s">
        <v>26</v>
      </c>
      <c r="D55" s="111" t="s">
        <v>29</v>
      </c>
      <c r="E55" s="9">
        <v>4</v>
      </c>
      <c r="F55" s="10">
        <f>Tableau_aoc[[#This Row],[NB_EST]]/$E$18</f>
        <v>1.863064741499767E-4</v>
      </c>
      <c r="G55" s="9">
        <v>64</v>
      </c>
      <c r="H55" s="112">
        <f>Tableau_aoc[[#This Row],[SURF_EST]]/$G$18</f>
        <v>1.9057828598654041E-3</v>
      </c>
      <c r="I55" s="113">
        <f>Tableau_aoc[[#This Row],[SURF_EST]]/Tableau_aoc[[#This Row],[NB_EST]]</f>
        <v>16</v>
      </c>
      <c r="J55" s="122">
        <f>IFERROR(SUMIFS(Tableau_scenarios[Cout_op],Tableau_scenarios[ID_scenario],Tableau_aoc[[#This Row],[SCENARIO]])/Tableau_aoc[[#This Row],[surf_moy (ha)]],0)</f>
      </c>
      <c r="K55" s="123">
        <f>IFERROR(SUMIFS(Tableau_scenarios[Temps_MO_op],Tableau_scenarios[ID_scenario],Tableau_aoc[[#This Row],[SCENARIO]])/Tableau_aoc[[#This Row],[surf_moy (ha)]],0)</f>
      </c>
      <c r="L55" s="140" t="str">
        <f>IF(COUNTIF(Tableau_scenarios[ID_scenario],Tableau_aoc[[#This Row],[SCENARIO]])&gt;0,"✓ Défini","⚠ Non défini")</f>
        <v>⚠ Non défini</v>
      </c>
    </row>
  </sheetData>
  <phoneticPr fontId="19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1822C-A0D0-4DB4-B9B1-56EF041713A7}">
  <sheetPr codeName="Feuil3">
    <tabColor theme="4" tint="-0.249977111117893"/>
  </sheetPr>
  <dimension ref="A1:L25"/>
  <sheetViews>
    <sheetView workbookViewId="0">
      <selection activeCell="D8" sqref="D8"/>
    </sheetView>
  </sheetViews>
  <sheetFormatPr baseColWidth="10" defaultColWidth="11.44140625" defaultRowHeight="14.4"/>
  <cols>
    <col min="1" max="1" width="12.33203125" customWidth="1"/>
    <col min="2" max="2" width="44.109375" customWidth="1"/>
    <col min="3" max="3" width="12.5546875" style="151" customWidth="1"/>
    <col min="4" max="4" width="12.5546875" customWidth="1"/>
    <col min="5" max="5" width="13.5546875" bestFit="1" customWidth="1"/>
    <col min="6" max="6" width="14.33203125" bestFit="1" customWidth="1"/>
    <col min="7" max="7" width="13" bestFit="1" customWidth="1"/>
    <col min="8" max="8" width="9" bestFit="1" customWidth="1"/>
    <col min="9" max="9" width="16" customWidth="1"/>
    <col min="10" max="10" width="29.109375" bestFit="1" customWidth="1"/>
    <col min="11" max="11" width="11.21875" bestFit="1" customWidth="1"/>
    <col min="12" max="12" width="10.88671875" bestFit="1" customWidth="1"/>
  </cols>
  <sheetData>
    <row r="1" spans="1:12" s="88" customFormat="1" ht="64.95" customHeight="1">
      <c r="C1" s="148"/>
      <c r="D1" s="91"/>
    </row>
    <row r="2" ht="36" customHeight="1" thickBot="1">
      <c r="A2" s="16" t="s">
        <v>17</v>
      </c>
      <c r="B2" s="13" t="s">
        <v>220</v>
      </c>
      <c r="C2" s="149" t="s">
        <v>37</v>
      </c>
      <c r="D2" s="13" t="s">
        <v>18</v>
      </c>
      <c r="E2" s="13" t="s">
        <v>280</v>
      </c>
      <c r="F2" s="13" t="s">
        <v>686</v>
      </c>
      <c r="G2" s="13" t="s">
        <v>19</v>
      </c>
      <c r="H2" s="13" t="s">
        <v>20</v>
      </c>
      <c r="I2" t="s" s="13">
        <v>687</v>
      </c>
      <c r="J2" s="141" t="s">
        <v>711</v>
      </c>
      <c r="K2" t="s" s="141">
        <v>712</v>
      </c>
      <c r="L2" s="151"/>
    </row>
    <row r="3" ht="17.399999999999999" thickBot="1">
      <c r="A3" s="14" t="s">
        <v>236</v>
      </c>
      <c r="B3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3" s="150" t="s">
        <v>688</v>
      </c>
      <c r="D3" s="38">
        <f>IFERROR(_xlfn.XLOOKUP(Tableau_scenarios[[#This Row],[Code_op]],Tableau_operations[Code_op],Tableau_operations[Cout total HT (€/ha)])*Tableau_scenarios[[#This Row],[Surf_op]]*Tableau_scenarios[[#This Row],[Nb_op]],0)</f>
        <v>12895.350435287288</v>
      </c>
      <c r="E3" s="38">
        <f>Tableau_scenarios[[#This Row],[Cout_op]]/Tableau_scenarios[[#This Row],[Surf_op]]</f>
        <v>4989.5999999999995</v>
      </c>
      <c r="F3">
        <f>IFERROR(N(_xlfn.XLOOKUP(Tableau_scenarios[[#This Row],[Code_op]],Tableau_operations[Code_op],Tableau_operations[h_MO_ha]))*Tableau_scenarios[[#This Row],[Surf_op]]*Tableau_scenarios[[#This Row],[Nb_op]],0)</f>
      </c>
      <c r="G3" s="126">
        <f>VLOOKUP(Tableau_scenarios[[#This Row],[ID_scenario]],Tableau_aoc[],9,FALSE)</f>
        <v>2.5844457341845617</v>
      </c>
      <c r="H3" s="104">
        <v>1</v>
      </c>
      <c r="I3" s="126">
        <f>IFERROR(N(_xlfn.XLOOKUP(Tableau_scenarios[[#This Row],[Code_op]],Tableau_operations[Code_op],Tableau_operations[h_machine_ha]))*Tableau_scenarios[[#This Row],[Surf_op]]*Tableau_scenarios[[#This Row],[Nb_op]],0)</f>
      </c>
      <c r="J3" t="s">
        <v>569</v>
      </c>
      <c r="K3" s="142">
        <f>SUMIFS(Tableau_scenarios[Cout_op_ha],Tableau_scenarios[ID_scenario],$K$2)</f>
      </c>
      <c r="L3" t="s">
        <v>570</v>
      </c>
    </row>
    <row r="4" ht="17.399999999999999" thickBot="1">
      <c r="A4" s="14" t="s">
        <v>236</v>
      </c>
      <c r="B4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4" s="150" t="s">
        <v>689</v>
      </c>
      <c r="D4" s="38">
        <f>IFERROR(_xlfn.XLOOKUP(Tableau_scenarios[[#This Row],[Code_op]],Tableau_operations[Code_op],Tableau_operations[Cout total HT (€/ha)])*Tableau_scenarios[[#This Row],[Surf_op]]*Tableau_scenarios[[#This Row],[Nb_op]],0)</f>
        <v>7850.2539175856064</v>
      </c>
      <c r="E4" s="38">
        <f>Tableau_scenarios[[#This Row],[Cout_op]]/Tableau_scenarios[[#This Row],[Surf_op]]</f>
        <v>3037.5</v>
      </c>
      <c r="F4">
        <f>IFERROR(N(_xlfn.XLOOKUP(Tableau_scenarios[[#This Row],[Code_op]],Tableau_operations[Code_op],Tableau_operations[h_MO_ha]))*Tableau_scenarios[[#This Row],[Surf_op]]*Tableau_scenarios[[#This Row],[Nb_op]],0)</f>
      </c>
      <c r="G4" s="126">
        <f>VLOOKUP(Tableau_scenarios[[#This Row],[ID_scenario]],Tableau_aoc[],9,FALSE)</f>
        <v>2.5844457341845617</v>
      </c>
      <c r="H4" s="104">
        <v>1</v>
      </c>
      <c r="I4" s="126">
        <f>IFERROR(N(_xlfn.XLOOKUP(Tableau_scenarios[[#This Row],[Code_op]],Tableau_operations[Code_op],Tableau_operations[h_machine_ha]))*Tableau_scenarios[[#This Row],[Surf_op]]*Tableau_scenarios[[#This Row],[Nb_op]],0)</f>
      </c>
      <c r="J4" t="s">
        <v>713</v>
      </c>
      <c r="K4" s="144">
        <f>IFERROR(SUMIFS(Tableau_scenarios[Temps_MO_op],Tableau_scenarios[ID_scenario],$K$2)/AVERAGEIFS(Tableau_scenarios[Surf_op],Tableau_scenarios[ID_scenario],$K$2),0)</f>
      </c>
      <c r="L4" t="s">
        <v>571</v>
      </c>
    </row>
    <row r="5" ht="17.399999999999999" thickBot="1">
      <c r="A5" s="14" t="s">
        <v>236</v>
      </c>
      <c r="B5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5" s="150" t="s">
        <v>690</v>
      </c>
      <c r="D5" s="38">
        <f>IFERROR(_xlfn.XLOOKUP(Tableau_scenarios[[#This Row],[Code_op]],Tableau_operations[Code_op],Tableau_operations[Cout total HT (€/ha)])*Tableau_scenarios[[#This Row],[Surf_op]]*Tableau_scenarios[[#This Row],[Nb_op]],0)</f>
        <v>7952.133593780698</v>
      </c>
      <c r="E5" s="38">
        <f>Tableau_scenarios[[#This Row],[Cout_op]]/Tableau_scenarios[[#This Row],[Surf_op]]</f>
        <v>3076.9203193541753</v>
      </c>
      <c r="F5">
        <f>IFERROR(N(_xlfn.XLOOKUP(Tableau_scenarios[[#This Row],[Code_op]],Tableau_operations[Code_op],Tableau_operations[h_MO_ha]))*Tableau_scenarios[[#This Row],[Surf_op]]*Tableau_scenarios[[#This Row],[Nb_op]],0)</f>
      </c>
      <c r="G5" s="126">
        <f>VLOOKUP(Tableau_scenarios[[#This Row],[ID_scenario]],Tableau_aoc[],9,FALSE)</f>
        <v>2.5844457341845617</v>
      </c>
      <c r="H5" s="104">
        <v>6</v>
      </c>
      <c r="I5" s="126">
        <f>IFERROR(N(_xlfn.XLOOKUP(Tableau_scenarios[[#This Row],[Code_op]],Tableau_operations[Code_op],Tableau_operations[h_machine_ha]))*Tableau_scenarios[[#This Row],[Surf_op]]*Tableau_scenarios[[#This Row],[Nb_op]],0)</f>
      </c>
      <c r="J5" t="s">
        <v>572</v>
      </c>
      <c r="K5" s="143">
        <f>AOC!B5</f>
        <v>9000</v>
      </c>
      <c r="L5" t="s">
        <v>5</v>
      </c>
    </row>
    <row r="6" ht="17.399999999999999" thickBot="1">
      <c r="A6" s="14" t="s">
        <v>236</v>
      </c>
      <c r="B6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6" s="150" t="s">
        <v>691</v>
      </c>
      <c r="D6" s="38">
        <f>IFERROR(_xlfn.XLOOKUP(Tableau_scenarios[[#This Row],[Code_op]],Tableau_operations[Code_op],Tableau_operations[Cout total HT (€/ha)])*Tableau_scenarios[[#This Row],[Surf_op]]*Tableau_scenarios[[#This Row],[Nb_op]],0)</f>
        <v>4652.0023215322108</v>
      </c>
      <c r="E6" s="38">
        <f>Tableau_scenarios[[#This Row],[Cout_op]]/Tableau_scenarios[[#This Row],[Surf_op]]</f>
        <v>1800</v>
      </c>
      <c r="F6">
        <f>IFERROR(N(_xlfn.XLOOKUP(Tableau_scenarios[[#This Row],[Code_op]],Tableau_operations[Code_op],Tableau_operations[h_MO_ha]))*Tableau_scenarios[[#This Row],[Surf_op]]*Tableau_scenarios[[#This Row],[Nb_op]],0)</f>
      </c>
      <c r="G6" s="126">
        <f>VLOOKUP(Tableau_scenarios[[#This Row],[ID_scenario]],Tableau_aoc[],9,FALSE)</f>
        <v>2.5844457341845617</v>
      </c>
      <c r="H6" s="104">
        <v>12</v>
      </c>
      <c r="I6" s="126">
        <f>IFERROR(N(_xlfn.XLOOKUP(Tableau_scenarios[[#This Row],[Code_op]],Tableau_operations[Code_op],Tableau_operations[h_machine_ha]))*Tableau_scenarios[[#This Row],[Surf_op]]*Tableau_scenarios[[#This Row],[Nb_op]],0)</f>
      </c>
      <c r="J6" t="s">
        <v>573</v>
      </c>
      <c r="K6" s="142">
        <f>AOC!B10</f>
        <v>7.5</v>
      </c>
      <c r="L6" t="s">
        <v>10</v>
      </c>
    </row>
    <row r="7" ht="17.399999999999999" thickBot="1">
      <c r="A7" s="14" t="s">
        <v>236</v>
      </c>
      <c r="B7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7" s="150" t="s">
        <v>692</v>
      </c>
      <c r="D7" s="38">
        <f>IFERROR(_xlfn.XLOOKUP(Tableau_scenarios[[#This Row],[Code_op]],Tableau_operations[Code_op],Tableau_operations[Cout total HT (€/ha)])*Tableau_scenarios[[#This Row],[Surf_op]]*Tableau_scenarios[[#This Row],[Nb_op]],0)</f>
        <v>2650.7111979268993</v>
      </c>
      <c r="E7" s="38">
        <f>Tableau_scenarios[[#This Row],[Cout_op]]/Tableau_scenarios[[#This Row],[Surf_op]]</f>
        <v>1025.6401064513918</v>
      </c>
      <c r="F7">
        <f>IFERROR(N(_xlfn.XLOOKUP(Tableau_scenarios[[#This Row],[Code_op]],Tableau_operations[Code_op],Tableau_operations[h_MO_ha]))*Tableau_scenarios[[#This Row],[Surf_op]]*Tableau_scenarios[[#This Row],[Nb_op]],0)</f>
      </c>
      <c r="G7" s="126">
        <f>VLOOKUP(Tableau_scenarios[[#This Row],[ID_scenario]],Tableau_aoc[],9,FALSE)</f>
        <v>2.5844457341845617</v>
      </c>
      <c r="H7" s="104">
        <v>1</v>
      </c>
      <c r="I7" s="126">
        <f>IFERROR(N(_xlfn.XLOOKUP(Tableau_scenarios[[#This Row],[Code_op]],Tableau_operations[Code_op],Tableau_operations[h_machine_ha]))*Tableau_scenarios[[#This Row],[Surf_op]]*Tableau_scenarios[[#This Row],[Nb_op]],0)</f>
      </c>
      <c r="J7" t="s">
        <v>574</v>
      </c>
      <c r="K7" s="142">
        <f>K5*K6</f>
        <v>67500</v>
      </c>
      <c r="L7" t="s">
        <v>570</v>
      </c>
    </row>
    <row r="8" ht="17.399999999999999" thickBot="1">
      <c r="A8" s="14" t="s">
        <v>236</v>
      </c>
      <c r="B8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8" s="150" t="s">
        <v>693</v>
      </c>
      <c r="D8" s="38">
        <f>IFERROR(_xlfn.XLOOKUP(Tableau_scenarios[[#This Row],[Code_op]],Tableau_operations[Code_op],Tableau_operations[Cout total HT (€/ha)])*Tableau_scenarios[[#This Row],[Surf_op]]*Tableau_scenarios[[#This Row],[Nb_op]],0)</f>
        <v>3454.1117237376666</v>
      </c>
      <c r="E8" s="38">
        <f>Tableau_scenarios[[#This Row],[Cout_op]]/Tableau_scenarios[[#This Row],[Surf_op]]</f>
        <v>1336.5</v>
      </c>
      <c r="F8">
        <f>IFERROR(N(_xlfn.XLOOKUP(Tableau_scenarios[[#This Row],[Code_op]],Tableau_operations[Code_op],Tableau_operations[h_MO_ha]))*Tableau_scenarios[[#This Row],[Surf_op]]*Tableau_scenarios[[#This Row],[Nb_op]],0)</f>
      </c>
      <c r="G8" s="126">
        <f>VLOOKUP(Tableau_scenarios[[#This Row],[ID_scenario]],Tableau_aoc[],9,FALSE)</f>
        <v>2.5844457341845617</v>
      </c>
      <c r="H8" s="104">
        <v>1</v>
      </c>
      <c r="I8" s="126">
        <f>IFERROR(N(_xlfn.XLOOKUP(Tableau_scenarios[[#This Row],[Code_op]],Tableau_operations[Code_op],Tableau_operations[h_machine_ha]))*Tableau_scenarios[[#This Row],[Surf_op]]*Tableau_scenarios[[#This Row],[Nb_op]],0)</f>
      </c>
      <c r="J8" t="s">
        <v>714</v>
      </c>
      <c r="K8" s="142">
        <f>K7-K3</f>
        <v>46890.405377259362</v>
      </c>
      <c r="L8" t="s">
        <v>570</v>
      </c>
    </row>
    <row r="9" ht="17.399999999999999" thickBot="1">
      <c r="A9" s="14" t="s">
        <v>236</v>
      </c>
      <c r="B9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9" s="150" t="s">
        <v>694</v>
      </c>
      <c r="D9" s="38">
        <f>IFERROR(_xlfn.XLOOKUP(Tableau_scenarios[[#This Row],[Code_op]],Tableau_operations[Code_op],Tableau_operations[Cout total HT (€/ha)])*Tableau_scenarios[[#This Row],[Surf_op]]*Tableau_scenarios[[#This Row],[Nb_op]],0)</f>
        <v>1590.4267187561395</v>
      </c>
      <c r="E9" s="38">
        <f>Tableau_scenarios[[#This Row],[Cout_op]]/Tableau_scenarios[[#This Row],[Surf_op]]</f>
        <v>615.38406387083501</v>
      </c>
      <c r="F9">
        <f>IFERROR(N(_xlfn.XLOOKUP(Tableau_scenarios[[#This Row],[Code_op]],Tableau_operations[Code_op],Tableau_operations[h_MO_ha]))*Tableau_scenarios[[#This Row],[Surf_op]]*Tableau_scenarios[[#This Row],[Nb_op]],0)</f>
      </c>
      <c r="G9" s="126">
        <f>VLOOKUP(Tableau_scenarios[[#This Row],[ID_scenario]],Tableau_aoc[],9,FALSE)</f>
        <v>2.5844457341845617</v>
      </c>
      <c r="H9" s="104">
        <v>3</v>
      </c>
      <c r="I9" s="126">
        <f>IFERROR(N(_xlfn.XLOOKUP(Tableau_scenarios[[#This Row],[Code_op]],Tableau_operations[Code_op],Tableau_operations[h_machine_ha]))*Tableau_scenarios[[#This Row],[Surf_op]]*Tableau_scenarios[[#This Row],[Nb_op]],0)</f>
      </c>
      <c r="J9" t="s">
        <v>715</v>
      </c>
      <c r="K9" s="142">
        <f>K3/K5</f>
        <v>2.2899549580822933</v>
      </c>
      <c r="L9" t="s">
        <v>10</v>
      </c>
    </row>
    <row r="10" ht="17.399999999999999" thickBot="1">
      <c r="A10" s="14" t="s">
        <v>236</v>
      </c>
      <c r="B10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10" s="150" t="s">
        <v>695</v>
      </c>
      <c r="D10" s="38">
        <f>IFERROR(_xlfn.XLOOKUP(Tableau_scenarios[[#This Row],[Code_op]],Tableau_operations[Code_op],Tableau_operations[Cout total HT (€/ha)])*Tableau_scenarios[[#This Row],[Surf_op]]*Tableau_scenarios[[#This Row],[Nb_op]],0)</f>
        <v>1256.0406268136969</v>
      </c>
      <c r="E10" s="38">
        <f>Tableau_scenarios[[#This Row],[Cout_op]]/Tableau_scenarios[[#This Row],[Surf_op]]</f>
        <v>486</v>
      </c>
      <c r="F10">
        <f>IFERROR(N(_xlfn.XLOOKUP(Tableau_scenarios[[#This Row],[Code_op]],Tableau_operations[Code_op],Tableau_operations[h_MO_ha]))*Tableau_scenarios[[#This Row],[Surf_op]]*Tableau_scenarios[[#This Row],[Nb_op]],0)</f>
      </c>
      <c r="G10" s="126">
        <f>VLOOKUP(Tableau_scenarios[[#This Row],[ID_scenario]],Tableau_aoc[],9,FALSE)</f>
        <v>2.5844457341845617</v>
      </c>
      <c r="H10" s="104">
        <v>1</v>
      </c>
      <c r="I10" s="126">
        <f>IFERROR(N(_xlfn.XLOOKUP(Tableau_scenarios[[#This Row],[Code_op]],Tableau_operations[Code_op],Tableau_operations[h_machine_ha]))*Tableau_scenarios[[#This Row],[Surf_op]]*Tableau_scenarios[[#This Row],[Nb_op]],0)</f>
      </c>
      <c r="J10" t="s">
        <v>716</v>
      </c>
      <c r="K10" s="144">
        <f>IFERROR(SUMIFS(Tableau_scenarios[Temps_machine_op],Tableau_scenarios[ID_scenario],$K$2)/AVERAGEIFS(Tableau_scenarios[Surf_op],Tableau_scenarios[ID_scenario],$K$2),0)</f>
      </c>
      <c r="L10" t="s">
        <v>717</v>
      </c>
    </row>
    <row r="11" ht="17.399999999999999" thickBot="1">
      <c r="A11" s="14" t="s">
        <v>236</v>
      </c>
      <c r="B11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11" s="150" t="s">
        <v>696</v>
      </c>
      <c r="D11" s="38">
        <f>IFERROR(_xlfn.XLOOKUP(Tableau_scenarios[[#This Row],[Code_op]],Tableau_operations[Code_op],Tableau_operations[Cout total HT (€/ha)])*Tableau_scenarios[[#This Row],[Surf_op]]*Tableau_scenarios[[#This Row],[Nb_op]],0)</f>
        <v>1163.0005803830527</v>
      </c>
      <c r="E11" s="38">
        <f>Tableau_scenarios[[#This Row],[Cout_op]]/Tableau_scenarios[[#This Row],[Surf_op]]</f>
        <v>450</v>
      </c>
      <c r="F11">
        <f>IFERROR(N(_xlfn.XLOOKUP(Tableau_scenarios[[#This Row],[Code_op]],Tableau_operations[Code_op],Tableau_operations[h_MO_ha]))*Tableau_scenarios[[#This Row],[Surf_op]]*Tableau_scenarios[[#This Row],[Nb_op]],0)</f>
      </c>
      <c r="G11" s="126">
        <f>VLOOKUP(Tableau_scenarios[[#This Row],[ID_scenario]],Tableau_aoc[],9,FALSE)</f>
        <v>2.5844457341845617</v>
      </c>
      <c r="H11" s="104">
        <v>1</v>
      </c>
      <c r="I11" s="126">
        <f>IFERROR(N(_xlfn.XLOOKUP(Tableau_scenarios[[#This Row],[Code_op]],Tableau_operations[Code_op],Tableau_operations[h_machine_ha]))*Tableau_scenarios[[#This Row],[Surf_op]]*Tableau_scenarios[[#This Row],[Nb_op]],0)</f>
      </c>
      <c r="J11" t="s">
        <v>718</v>
      </c>
      <c r="K11" s="144">
        <f>COUNTIFS(Tableau_scenarios[ID_scenario],$K$2,Tableau_scenarios[Cout_op],0)</f>
      </c>
      <c r="L11">
        <f>IF(K11&gt;0,"⚠ à vérifier","✓")</f>
      </c>
    </row>
    <row r="12" ht="17.399999999999999" thickBot="1">
      <c r="A12" s="14" t="s">
        <v>236</v>
      </c>
      <c r="B12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12" s="150" t="s">
        <v>697</v>
      </c>
      <c r="D12" s="38">
        <f>IFERROR(_xlfn.XLOOKUP(Tableau_scenarios[[#This Row],[Code_op]],Tableau_operations[Code_op],Tableau_operations[Cout total HT (€/ha)])*Tableau_scenarios[[#This Row],[Surf_op]]*Tableau_scenarios[[#This Row],[Nb_op]],0)</f>
        <v>1099.0355484619849</v>
      </c>
      <c r="E12" s="38">
        <f>Tableau_scenarios[[#This Row],[Cout_op]]/Tableau_scenarios[[#This Row],[Surf_op]]</f>
        <v>425.25000000000006</v>
      </c>
      <c r="F12">
        <f>IFERROR(N(_xlfn.XLOOKUP(Tableau_scenarios[[#This Row],[Code_op]],Tableau_operations[Code_op],Tableau_operations[h_MO_ha]))*Tableau_scenarios[[#This Row],[Surf_op]]*Tableau_scenarios[[#This Row],[Nb_op]],0)</f>
      </c>
      <c r="G12" s="126">
        <f>VLOOKUP(Tableau_scenarios[[#This Row],[ID_scenario]],Tableau_aoc[],9,FALSE)</f>
        <v>2.5844457341845617</v>
      </c>
      <c r="H12" s="104">
        <v>1</v>
      </c>
      <c r="I12" s="126">
        <f>IFERROR(N(_xlfn.XLOOKUP(Tableau_scenarios[[#This Row],[Code_op]],Tableau_operations[Code_op],Tableau_operations[h_machine_ha]))*Tableau_scenarios[[#This Row],[Surf_op]]*Tableau_scenarios[[#This Row],[Nb_op]],0)</f>
      </c>
      <c r="J12" t="s">
        <v>719</v>
      </c>
    </row>
    <row r="13" ht="17.399999999999999" thickBot="1">
      <c r="A13" s="14" t="s">
        <v>236</v>
      </c>
      <c r="B13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13" s="150" t="s">
        <v>698</v>
      </c>
      <c r="D13" s="38">
        <f>IFERROR(_xlfn.XLOOKUP(Tableau_scenarios[[#This Row],[Code_op]],Tableau_operations[Code_op],Tableau_operations[Cout total HT (€/ha)])*Tableau_scenarios[[#This Row],[Surf_op]]*Tableau_scenarios[[#This Row],[Nb_op]],0)</f>
        <v>994.36549622751011</v>
      </c>
      <c r="E13" s="38">
        <f>Tableau_scenarios[[#This Row],[Cout_op]]/Tableau_scenarios[[#This Row],[Surf_op]]</f>
        <v>384.75</v>
      </c>
      <c r="F13">
        <f>IFERROR(N(_xlfn.XLOOKUP(Tableau_scenarios[[#This Row],[Code_op]],Tableau_operations[Code_op],Tableau_operations[h_MO_ha]))*Tableau_scenarios[[#This Row],[Surf_op]]*Tableau_scenarios[[#This Row],[Nb_op]],0)</f>
      </c>
      <c r="G13" s="126">
        <f>VLOOKUP(Tableau_scenarios[[#This Row],[ID_scenario]],Tableau_aoc[],9,FALSE)</f>
        <v>2.5844457341845617</v>
      </c>
      <c r="H13" s="104">
        <v>1</v>
      </c>
      <c r="I13" s="126">
        <f>IFERROR(N(_xlfn.XLOOKUP(Tableau_scenarios[[#This Row],[Code_op]],Tableau_operations[Code_op],Tableau_operations[h_machine_ha]))*Tableau_scenarios[[#This Row],[Surf_op]]*Tableau_scenarios[[#This Row],[Nb_op]],0)</f>
      </c>
    </row>
    <row r="14" ht="17.399999999999999" thickBot="1">
      <c r="A14" s="14" t="s">
        <v>236</v>
      </c>
      <c r="B14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14" s="150" t="s">
        <v>699</v>
      </c>
      <c r="D14" s="38">
        <f>IFERROR(_xlfn.XLOOKUP(Tableau_scenarios[[#This Row],[Code_op]],Tableau_operations[Code_op],Tableau_operations[Cout total HT (€/ha)])*Tableau_scenarios[[#This Row],[Surf_op]]*Tableau_scenarios[[#This Row],[Nb_op]],0)</f>
        <v>1060.2844791707596</v>
      </c>
      <c r="E14" s="38">
        <f>Tableau_scenarios[[#This Row],[Cout_op]]/Tableau_scenarios[[#This Row],[Surf_op]]</f>
        <v>410.25604258055665</v>
      </c>
      <c r="F14">
        <f>IFERROR(N(_xlfn.XLOOKUP(Tableau_scenarios[[#This Row],[Code_op]],Tableau_operations[Code_op],Tableau_operations[h_MO_ha]))*Tableau_scenarios[[#This Row],[Surf_op]]*Tableau_scenarios[[#This Row],[Nb_op]],0)</f>
      </c>
      <c r="G14" s="126">
        <f>VLOOKUP(Tableau_scenarios[[#This Row],[ID_scenario]],Tableau_aoc[],9,FALSE)</f>
        <v>2.5844457341845617</v>
      </c>
      <c r="H14" s="104">
        <v>1</v>
      </c>
      <c r="I14" s="126">
        <f>IFERROR(N(_xlfn.XLOOKUP(Tableau_scenarios[[#This Row],[Code_op]],Tableau_operations[Code_op],Tableau_operations[h_machine_ha]))*Tableau_scenarios[[#This Row],[Surf_op]]*Tableau_scenarios[[#This Row],[Nb_op]],0)</f>
      </c>
    </row>
    <row r="15" ht="17.399999999999999" thickBot="1">
      <c r="A15" s="14" t="s">
        <v>236</v>
      </c>
      <c r="B15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15" s="150" t="s">
        <v>700</v>
      </c>
      <c r="D15" s="38">
        <f>IFERROR(_xlfn.XLOOKUP(Tableau_scenarios[[#This Row],[Code_op]],Tableau_operations[Code_op],Tableau_operations[Cout total HT (€/ha)])*Tableau_scenarios[[#This Row],[Surf_op]]*Tableau_scenarios[[#This Row],[Nb_op]],0)</f>
        <v>530.1422395853798</v>
      </c>
      <c r="E15" s="38">
        <f>Tableau_scenarios[[#This Row],[Cout_op]]/Tableau_scenarios[[#This Row],[Surf_op]]</f>
        <v>205.12802129027833</v>
      </c>
      <c r="F15">
        <f>IFERROR(N(_xlfn.XLOOKUP(Tableau_scenarios[[#This Row],[Code_op]],Tableau_operations[Code_op],Tableau_operations[h_MO_ha]))*Tableau_scenarios[[#This Row],[Surf_op]]*Tableau_scenarios[[#This Row],[Nb_op]],0)</f>
      </c>
      <c r="G15" s="126">
        <f>VLOOKUP(Tableau_scenarios[[#This Row],[ID_scenario]],Tableau_aoc[],9,FALSE)</f>
        <v>2.5844457341845617</v>
      </c>
      <c r="H15" s="104">
        <v>1</v>
      </c>
      <c r="I15" s="126">
        <f>IFERROR(N(_xlfn.XLOOKUP(Tableau_scenarios[[#This Row],[Code_op]],Tableau_operations[Code_op],Tableau_operations[h_machine_ha]))*Tableau_scenarios[[#This Row],[Surf_op]]*Tableau_scenarios[[#This Row],[Nb_op]],0)</f>
      </c>
    </row>
    <row r="16" ht="17.399999999999999" thickBot="1">
      <c r="A16" s="14" t="s">
        <v>236</v>
      </c>
      <c r="B16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16" s="150" t="s">
        <v>701</v>
      </c>
      <c r="D16" s="38">
        <f>IFERROR(_xlfn.XLOOKUP(Tableau_scenarios[[#This Row],[Code_op]],Tableau_operations[Code_op],Tableau_operations[Cout total HT (€/ha)])*Tableau_scenarios[[#This Row],[Surf_op]]*Tableau_scenarios[[#This Row],[Nb_op]],0)</f>
        <v>314.01015670342423</v>
      </c>
      <c r="E16" s="38">
        <f>Tableau_scenarios[[#This Row],[Cout_op]]/Tableau_scenarios[[#This Row],[Surf_op]]</f>
        <v>121.5</v>
      </c>
      <c r="F16">
        <f>IFERROR(N(_xlfn.XLOOKUP(Tableau_scenarios[[#This Row],[Code_op]],Tableau_operations[Code_op],Tableau_operations[h_MO_ha]))*Tableau_scenarios[[#This Row],[Surf_op]]*Tableau_scenarios[[#This Row],[Nb_op]],0)</f>
      </c>
      <c r="G16" s="126">
        <f>VLOOKUP(Tableau_scenarios[[#This Row],[ID_scenario]],Tableau_aoc[],9,FALSE)</f>
        <v>2.5844457341845617</v>
      </c>
      <c r="H16" s="104">
        <v>1</v>
      </c>
      <c r="I16" s="126">
        <f>IFERROR(N(_xlfn.XLOOKUP(Tableau_scenarios[[#This Row],[Code_op]],Tableau_operations[Code_op],Tableau_operations[h_machine_ha]))*Tableau_scenarios[[#This Row],[Surf_op]]*Tableau_scenarios[[#This Row],[Nb_op]],0)</f>
      </c>
    </row>
    <row r="17" ht="17.399999999999999" thickBot="1">
      <c r="A17" s="14" t="s">
        <v>236</v>
      </c>
      <c r="B17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17" s="150" t="s">
        <v>702</v>
      </c>
      <c r="D17" s="38">
        <f>IFERROR(_xlfn.XLOOKUP(Tableau_scenarios[[#This Row],[Code_op]],Tableau_operations[Code_op],Tableau_operations[Cout total HT (€/ha)])*Tableau_scenarios[[#This Row],[Surf_op]]*Tableau_scenarios[[#This Row],[Nb_op]],0)</f>
        <v>1060.2844791707596</v>
      </c>
      <c r="E17" s="38">
        <f>Tableau_scenarios[[#This Row],[Cout_op]]/Tableau_scenarios[[#This Row],[Surf_op]]</f>
        <v>410.25604258055665</v>
      </c>
      <c r="F17">
        <f>IFERROR(N(_xlfn.XLOOKUP(Tableau_scenarios[[#This Row],[Code_op]],Tableau_operations[Code_op],Tableau_operations[h_MO_ha]))*Tableau_scenarios[[#This Row],[Surf_op]]*Tableau_scenarios[[#This Row],[Nb_op]],0)</f>
      </c>
      <c r="G17" s="126">
        <f>VLOOKUP(Tableau_scenarios[[#This Row],[ID_scenario]],Tableau_aoc[],9,FALSE)</f>
        <v>2.5844457341845617</v>
      </c>
      <c r="H17" s="104">
        <v>1</v>
      </c>
      <c r="I17" s="126">
        <f>IFERROR(N(_xlfn.XLOOKUP(Tableau_scenarios[[#This Row],[Code_op]],Tableau_operations[Code_op],Tableau_operations[h_machine_ha]))*Tableau_scenarios[[#This Row],[Surf_op]]*Tableau_scenarios[[#This Row],[Nb_op]],0)</f>
      </c>
    </row>
    <row r="18" ht="17.399999999999999" thickBot="1">
      <c r="A18" s="14" t="s">
        <v>236</v>
      </c>
      <c r="B18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18" s="150" t="s">
        <v>703</v>
      </c>
      <c r="D18" s="38">
        <f>IFERROR(_xlfn.XLOOKUP(Tableau_scenarios[[#This Row],[Code_op]],Tableau_operations[Code_op],Tableau_operations[Cout total HT (€/ha)])*Tableau_scenarios[[#This Row],[Surf_op]]*Tableau_scenarios[[#This Row],[Nb_op]],0)</f>
        <v>726.87536273940793</v>
      </c>
      <c r="E18" s="38">
        <f>Tableau_scenarios[[#This Row],[Cout_op]]/Tableau_scenarios[[#This Row],[Surf_op]]</f>
        <v>281.25</v>
      </c>
      <c r="F18">
        <f>IFERROR(N(_xlfn.XLOOKUP(Tableau_scenarios[[#This Row],[Code_op]],Tableau_operations[Code_op],Tableau_operations[h_MO_ha]))*Tableau_scenarios[[#This Row],[Surf_op]]*Tableau_scenarios[[#This Row],[Nb_op]],0)</f>
      </c>
      <c r="G18" s="126">
        <f>VLOOKUP(Tableau_scenarios[[#This Row],[ID_scenario]],Tableau_aoc[],9,FALSE)</f>
        <v>2.5844457341845617</v>
      </c>
      <c r="H18" s="104">
        <v>1</v>
      </c>
      <c r="I18" s="126">
        <f>IFERROR(N(_xlfn.XLOOKUP(Tableau_scenarios[[#This Row],[Code_op]],Tableau_operations[Code_op],Tableau_operations[h_machine_ha]))*Tableau_scenarios[[#This Row],[Surf_op]]*Tableau_scenarios[[#This Row],[Nb_op]],0)</f>
      </c>
    </row>
    <row r="19" ht="17.399999999999999" thickBot="1">
      <c r="A19" s="14" t="s">
        <v>236</v>
      </c>
      <c r="B19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19" s="150" t="s">
        <v>704</v>
      </c>
      <c r="D19" s="38">
        <f>IFERROR(_xlfn.XLOOKUP(Tableau_scenarios[[#This Row],[Code_op]],Tableau_operations[Code_op],Tableau_operations[Cout total HT (€/ha)])*Tableau_scenarios[[#This Row],[Surf_op]]*Tableau_scenarios[[#This Row],[Nb_op]],0)</f>
        <v>280.57779419779729</v>
      </c>
      <c r="E19" s="38">
        <f>Tableau_scenarios[[#This Row],[Cout_op]]/Tableau_scenarios[[#This Row],[Surf_op]]</f>
        <v>108.56401064513918</v>
      </c>
      <c r="F19">
        <f>IFERROR(N(_xlfn.XLOOKUP(Tableau_scenarios[[#This Row],[Code_op]],Tableau_operations[Code_op],Tableau_operations[h_MO_ha]))*Tableau_scenarios[[#This Row],[Surf_op]]*Tableau_scenarios[[#This Row],[Nb_op]],0)</f>
      </c>
      <c r="G19" s="126">
        <f>VLOOKUP(Tableau_scenarios[[#This Row],[ID_scenario]],Tableau_aoc[],9,FALSE)</f>
        <v>2.5844457341845617</v>
      </c>
      <c r="H19" s="104">
        <v>1</v>
      </c>
      <c r="I19" s="126">
        <f>IFERROR(N(_xlfn.XLOOKUP(Tableau_scenarios[[#This Row],[Code_op]],Tableau_operations[Code_op],Tableau_operations[h_machine_ha]))*Tableau_scenarios[[#This Row],[Surf_op]]*Tableau_scenarios[[#This Row],[Nb_op]],0)</f>
      </c>
    </row>
    <row r="20" ht="17.399999999999999" thickBot="1">
      <c r="A20" s="14" t="s">
        <v>236</v>
      </c>
      <c r="B20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20" s="150" t="s">
        <v>705</v>
      </c>
      <c r="D20" s="38">
        <f>IFERROR(_xlfn.XLOOKUP(Tableau_scenarios[[#This Row],[Code_op]],Tableau_operations[Code_op],Tableau_operations[Cout total HT (€/ha)])*Tableau_scenarios[[#This Row],[Surf_op]]*Tableau_scenarios[[#This Row],[Nb_op]],0)</f>
        <v>209.34010446894951</v>
      </c>
      <c r="E20" s="38">
        <f>Tableau_scenarios[[#This Row],[Cout_op]]/Tableau_scenarios[[#This Row],[Surf_op]]</f>
        <v>81</v>
      </c>
      <c r="F20">
        <f>IFERROR(N(_xlfn.XLOOKUP(Tableau_scenarios[[#This Row],[Code_op]],Tableau_operations[Code_op],Tableau_operations[h_MO_ha]))*Tableau_scenarios[[#This Row],[Surf_op]]*Tableau_scenarios[[#This Row],[Nb_op]],0)</f>
      </c>
      <c r="G20" s="126">
        <f>VLOOKUP(Tableau_scenarios[[#This Row],[ID_scenario]],Tableau_aoc[],9,FALSE)</f>
        <v>2.5844457341845617</v>
      </c>
      <c r="H20" s="104">
        <v>1</v>
      </c>
      <c r="I20" s="126">
        <f>IFERROR(N(_xlfn.XLOOKUP(Tableau_scenarios[[#This Row],[Code_op]],Tableau_operations[Code_op],Tableau_operations[h_machine_ha]))*Tableau_scenarios[[#This Row],[Surf_op]]*Tableau_scenarios[[#This Row],[Nb_op]],0)</f>
      </c>
    </row>
    <row r="21" ht="17.399999999999999" thickBot="1">
      <c r="A21" s="14" t="s">
        <v>236</v>
      </c>
      <c r="B21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21" s="150" t="s">
        <v>706</v>
      </c>
      <c r="D21" s="38">
        <f>IFERROR(_xlfn.XLOOKUP(Tableau_scenarios[[#This Row],[Code_op]],Tableau_operations[Code_op],Tableau_operations[Cout total HT (€/ha)])*Tableau_scenarios[[#This Row],[Surf_op]]*Tableau_scenarios[[#This Row],[Nb_op]],0)</f>
        <v>1361.8039202275702</v>
      </c>
      <c r="E21" s="38">
        <f>Tableau_scenarios[[#This Row],[Cout_op]]/Tableau_scenarios[[#This Row],[Surf_op]]</f>
        <v>526.9230079838544</v>
      </c>
      <c r="F21">
        <f>IFERROR(N(_xlfn.XLOOKUP(Tableau_scenarios[[#This Row],[Code_op]],Tableau_operations[Code_op],Tableau_operations[h_MO_ha]))*Tableau_scenarios[[#This Row],[Surf_op]]*Tableau_scenarios[[#This Row],[Nb_op]],0)</f>
      </c>
      <c r="G21" s="126">
        <f>VLOOKUP(Tableau_scenarios[[#This Row],[ID_scenario]],Tableau_aoc[],9,FALSE)</f>
        <v>2.5844457341845617</v>
      </c>
      <c r="H21" s="104">
        <v>1</v>
      </c>
      <c r="I21" s="126">
        <f>IFERROR(N(_xlfn.XLOOKUP(Tableau_scenarios[[#This Row],[Code_op]],Tableau_operations[Code_op],Tableau_operations[h_machine_ha]))*Tableau_scenarios[[#This Row],[Surf_op]]*Tableau_scenarios[[#This Row],[Nb_op]],0)</f>
      </c>
    </row>
    <row r="22" ht="17.399999999999999" thickBot="1">
      <c r="A22" s="14" t="s">
        <v>236</v>
      </c>
      <c r="B22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22" s="150" t="s">
        <v>707</v>
      </c>
      <c r="D22" s="38">
        <f>IFERROR(_xlfn.XLOOKUP(Tableau_scenarios[[#This Row],[Code_op]],Tableau_operations[Code_op],Tableau_operations[Cout total HT (€/ha)])*Tableau_scenarios[[#This Row],[Surf_op]]*Tableau_scenarios[[#This Row],[Nb_op]],0)</f>
        <v>77.533372025536849</v>
      </c>
      <c r="E22" s="38">
        <f>Tableau_scenarios[[#This Row],[Cout_op]]/Tableau_scenarios[[#This Row],[Surf_op]]</f>
        <v>30</v>
      </c>
      <c r="F22">
        <f>IFERROR(N(_xlfn.XLOOKUP(Tableau_scenarios[[#This Row],[Code_op]],Tableau_operations[Code_op],Tableau_operations[h_MO_ha]))*Tableau_scenarios[[#This Row],[Surf_op]]*Tableau_scenarios[[#This Row],[Nb_op]],0)</f>
      </c>
      <c r="G22" s="126">
        <f>VLOOKUP(Tableau_scenarios[[#This Row],[ID_scenario]],Tableau_aoc[],9,FALSE)</f>
        <v>2.5844457341845617</v>
      </c>
      <c r="H22" s="104">
        <v>1</v>
      </c>
      <c r="I22" s="126">
        <f>IFERROR(N(_xlfn.XLOOKUP(Tableau_scenarios[[#This Row],[Code_op]],Tableau_operations[Code_op],Tableau_operations[h_machine_ha]))*Tableau_scenarios[[#This Row],[Surf_op]]*Tableau_scenarios[[#This Row],[Nb_op]],0)</f>
      </c>
    </row>
    <row r="23" ht="17.399999999999999" thickBot="1">
      <c r="A23" s="14" t="s">
        <v>236</v>
      </c>
      <c r="B23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23" s="150" t="s">
        <v>708</v>
      </c>
      <c r="D23" s="38">
        <f>IFERROR(_xlfn.XLOOKUP(Tableau_scenarios[[#This Row],[Code_op]],Tableau_operations[Code_op],Tableau_operations[Cout total HT (€/ha)])*Tableau_scenarios[[#This Row],[Surf_op]]*Tableau_scenarios[[#This Row],[Nb_op]],0)</f>
        <v>77.533372025536849</v>
      </c>
      <c r="E23" s="38">
        <f>Tableau_scenarios[[#This Row],[Cout_op]]/Tableau_scenarios[[#This Row],[Surf_op]]</f>
        <v>30</v>
      </c>
      <c r="F23">
        <f>IFERROR(N(_xlfn.XLOOKUP(Tableau_scenarios[[#This Row],[Code_op]],Tableau_operations[Code_op],Tableau_operations[h_MO_ha]))*Tableau_scenarios[[#This Row],[Surf_op]]*Tableau_scenarios[[#This Row],[Nb_op]],0)</f>
      </c>
      <c r="G23" s="126">
        <f>VLOOKUP(Tableau_scenarios[[#This Row],[ID_scenario]],Tableau_aoc[],9,FALSE)</f>
        <v>2.5844457341845617</v>
      </c>
      <c r="H23" s="104">
        <v>1</v>
      </c>
      <c r="I23" s="126">
        <f>IFERROR(N(_xlfn.XLOOKUP(Tableau_scenarios[[#This Row],[Code_op]],Tableau_operations[Code_op],Tableau_operations[h_machine_ha]))*Tableau_scenarios[[#This Row],[Surf_op]]*Tableau_scenarios[[#This Row],[Nb_op]],0)</f>
      </c>
    </row>
    <row r="24" ht="17.399999999999999" thickBot="1">
      <c r="A24" s="14" t="s">
        <v>236</v>
      </c>
      <c r="B24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24" s="150" t="s">
        <v>709</v>
      </c>
      <c r="D24" s="38">
        <f>IFERROR(_xlfn.XLOOKUP(Tableau_scenarios[[#This Row],[Code_op]],Tableau_operations[Code_op],Tableau_operations[Cout total HT (€/ha)])*Tableau_scenarios[[#This Row],[Surf_op]]*Tableau_scenarios[[#This Row],[Nb_op]],0)</f>
        <v>879.35766105629716</v>
      </c>
      <c r="E24" s="38">
        <f>Tableau_scenarios[[#This Row],[Cout_op]]/Tableau_scenarios[[#This Row],[Surf_op]]</f>
        <v>340.25</v>
      </c>
      <c r="F24">
        <f>IFERROR(N(_xlfn.XLOOKUP(Tableau_scenarios[[#This Row],[Code_op]],Tableau_operations[Code_op],Tableau_operations[h_MO_ha]))*Tableau_scenarios[[#This Row],[Surf_op]]*Tableau_scenarios[[#This Row],[Nb_op]],0)</f>
      </c>
      <c r="G24" s="126">
        <f>VLOOKUP(Tableau_scenarios[[#This Row],[ID_scenario]],Tableau_aoc[],9,FALSE)</f>
        <v>2.5844457341845617</v>
      </c>
      <c r="H24" s="104">
        <v>1</v>
      </c>
      <c r="I24" s="126">
        <f>IFERROR(N(_xlfn.XLOOKUP(Tableau_scenarios[[#This Row],[Code_op]],Tableau_operations[Code_op],Tableau_operations[h_machine_ha]))*Tableau_scenarios[[#This Row],[Surf_op]]*Tableau_scenarios[[#This Row],[Nb_op]],0)</f>
      </c>
    </row>
    <row r="25" ht="17.399999999999999" thickBot="1">
      <c r="A25" s="14" t="s">
        <v>236</v>
      </c>
      <c r="B25" s="24">
        <f>IFERROR(_xlfn.XLOOKUP(Tableau_scenarios[[#This Row],[Code_op]],Tableau_operations[Code_op],Tableau_operations[Libellé_opération])&amp;" – "&amp;_xlfn.XLOOKUP(Tableau_scenarios[[#This Row],[Code_op]],Tableau_operations[Code_op],Tableau_operations[Mode_conduite])&amp;" / "&amp;_xlfn.XLOOKUP(Tableau_scenarios[[#This Row],[Code_op]],Tableau_operations[Code_op],Tableau_operations[Type_organisation]),"⚠ code inconnu")</f>
      </c>
      <c r="C25" s="150" t="s">
        <v>710</v>
      </c>
      <c r="D25" s="38">
        <f>IFERROR(_xlfn.XLOOKUP(Tableau_scenarios[[#This Row],[Code_op]],Tableau_operations[Code_op],Tableau_operations[Cout total HT (€/ha)])*Tableau_scenarios[[#This Row],[Surf_op]]*Tableau_scenarios[[#This Row],[Nb_op]],0)</f>
        <v>1129.2038041509597</v>
      </c>
      <c r="E25" s="38">
        <f>Tableau_scenarios[[#This Row],[Cout_op]]/Tableau_scenarios[[#This Row],[Surf_op]]</f>
        <v>436.9230079838544</v>
      </c>
      <c r="F25">
        <f>IFERROR(N(_xlfn.XLOOKUP(Tableau_scenarios[[#This Row],[Code_op]],Tableau_operations[Code_op],Tableau_operations[h_MO_ha]))*Tableau_scenarios[[#This Row],[Surf_op]]*Tableau_scenarios[[#This Row],[Nb_op]],0)</f>
      </c>
      <c r="G25" s="126">
        <f>VLOOKUP(Tableau_scenarios[[#This Row],[ID_scenario]],Tableau_aoc[],9,FALSE)</f>
        <v>2.5844457341845617</v>
      </c>
      <c r="H25" s="104">
        <v>1</v>
      </c>
      <c r="I25" s="126">
        <f>IFERROR(N(_xlfn.XLOOKUP(Tableau_scenarios[[#This Row],[Code_op]],Tableau_operations[Code_op],Tableau_operations[h_machine_ha]))*Tableau_scenarios[[#This Row],[Surf_op]]*Tableau_scenarios[[#This Row],[Nb_op]],0)</f>
      </c>
    </row>
  </sheetData>
  <phoneticPr fontId="19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OPERATIONS_VIGNE!$A$3:$A$60</xm:f>
          </x14:formula1>
          <xm:sqref>C3:C25</xm:sqref>
        </x14:dataValidation>
        <x14:dataValidation type="list" allowBlank="1" showInputMessage="1" showErrorMessage="1">
          <x14:formula1>
            <xm:f>AOC!$A$20:$A$55</xm:f>
          </x14:formula1>
          <xm:sqref>K2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C77AC-A9EA-47DD-A8F5-2E2888D77417}">
  <sheetPr codeName="Feuil4">
    <tabColor theme="5"/>
  </sheetPr>
  <dimension ref="A1:R60"/>
  <sheetViews>
    <sheetView tabSelected="1" zoomScale="70" zoomScaleNormal="7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I51" sqref="I51"/>
    </sheetView>
  </sheetViews>
  <sheetFormatPr baseColWidth="10" defaultColWidth="11.44140625" defaultRowHeight="14.4"/>
  <cols>
    <col min="1" max="1" width="14.6640625" bestFit="1" customWidth="1"/>
    <col min="2" max="2" width="30" customWidth="1"/>
    <col min="3" max="3" width="43.5546875" customWidth="1"/>
    <col min="4" max="4" width="11.33203125" bestFit="1" customWidth="1"/>
    <col min="5" max="5" width="9.44140625" customWidth="1"/>
    <col min="6" max="7" width="20.6640625" customWidth="1"/>
    <col min="8" max="8" width="20" customWidth="1"/>
    <col min="9" max="9" width="11" customWidth="1"/>
    <col min="10" max="10" width="20.44140625" customWidth="1"/>
    <col min="11" max="11" width="17.6640625" customWidth="1"/>
    <col min="12" max="12" width="12.33203125" customWidth="1"/>
    <col min="13" max="13" width="16" customWidth="1"/>
    <col min="14" max="14" width="20.77734375" bestFit="1" customWidth="1"/>
    <col min="15" max="15" width="13.5546875" customWidth="1"/>
    <col min="16" max="16" width="14" customWidth="1"/>
    <col min="17" max="17" width="25.6640625" bestFit="1" customWidth="1"/>
    <col min="18" max="18" width="14" customWidth="1"/>
  </cols>
  <sheetData>
    <row r="1" spans="1:17" s="88" customFormat="1" ht="64.95" customHeight="1"/>
    <row r="2" ht="31.2" customHeight="1">
      <c r="A2" s="26" t="s">
        <v>37</v>
      </c>
      <c r="B2" s="26" t="s">
        <v>38</v>
      </c>
      <c r="C2" s="26" t="s">
        <v>39</v>
      </c>
      <c r="D2" s="26" t="s">
        <v>157</v>
      </c>
      <c r="E2" s="26" t="s">
        <v>40</v>
      </c>
      <c r="F2" s="26" t="s">
        <v>41</v>
      </c>
      <c r="G2" s="26" t="s">
        <v>160</v>
      </c>
      <c r="H2" s="25" t="s">
        <v>42</v>
      </c>
      <c r="I2" s="30" t="s">
        <v>43</v>
      </c>
      <c r="J2" s="34" t="s">
        <v>44</v>
      </c>
      <c r="K2" s="25" t="s">
        <v>45</v>
      </c>
      <c r="L2" s="30" t="s">
        <v>46</v>
      </c>
      <c r="M2" s="34" t="s">
        <v>47</v>
      </c>
      <c r="N2" s="25" t="s">
        <v>48</v>
      </c>
      <c r="O2" s="30" t="s">
        <v>49</v>
      </c>
      <c r="P2" s="34" t="s">
        <v>50</v>
      </c>
      <c r="Q2" s="34" t="s">
        <v>51</v>
      </c>
      <c r="R2" t="s" s="34">
        <v>627</v>
      </c>
    </row>
    <row r="3" ht="16.8">
      <c r="A3" s="27" t="s">
        <v>628</v>
      </c>
      <c r="B3" s="28" t="s">
        <v>21</v>
      </c>
      <c r="C3" s="28" t="s">
        <v>21</v>
      </c>
      <c r="D3" s="28">
        <v>1</v>
      </c>
      <c r="E3" s="28" t="s">
        <v>52</v>
      </c>
      <c r="F3" s="28" t="s">
        <v>53</v>
      </c>
      <c r="G3" s="28" t="s">
        <v>161</v>
      </c>
      <c r="H3" s="29" t="s">
        <v>54</v>
      </c>
      <c r="I3" s="31">
        <v>10</v>
      </c>
      <c r="J3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" s="29" t="s">
        <v>57</v>
      </c>
      <c r="L3" s="31">
        <f>IF(Tableau_operations[[#This Row],[Code_machine]]="",0,N(Tableau_operations[[#This Row],[h_MO_ha]]))</f>
      </c>
      <c r="M3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725.64010645139183</v>
      </c>
      <c r="N3" s="33"/>
      <c r="O3" s="31"/>
      <c r="P3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3" s="41">
        <f>IFERROR(SUM(Tableau_operations[[#This Row],[Cout_MO_ha]],Tableau_operations[[#This Row],[Cout_machine_ha]],Tableau_operations[[#This Row],[Cout_intrant_ha]],Tableau_operations[[#This Row],[Cout_presta_ha]]),0)</f>
      </c>
      <c r="R3" s="41"/>
    </row>
    <row r="4" ht="16.8">
      <c r="A4" s="27" t="s">
        <v>629</v>
      </c>
      <c r="B4" s="28" t="s">
        <v>98</v>
      </c>
      <c r="C4" s="28" t="s">
        <v>98</v>
      </c>
      <c r="D4" s="28">
        <v>1</v>
      </c>
      <c r="E4" s="28" t="s">
        <v>52</v>
      </c>
      <c r="F4" s="28" t="s">
        <v>53</v>
      </c>
      <c r="G4" s="28"/>
      <c r="H4" s="29" t="s">
        <v>59</v>
      </c>
      <c r="I4" s="105">
        <v>4</v>
      </c>
      <c r="J4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" s="29"/>
      <c r="L4" s="31">
        <f>IF(Tableau_operations[[#This Row],[Code_machine]]="",0,N(Tableau_operations[[#This Row],[h_MO_ha]]))</f>
      </c>
      <c r="M4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4" s="33"/>
      <c r="O4" s="31"/>
      <c r="P4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4" s="41">
        <f>IFERROR(SUM(Tableau_operations[[#This Row],[Cout_MO_ha]],Tableau_operations[[#This Row],[Cout_machine_ha]],Tableau_operations[[#This Row],[Cout_intrant_ha]],Tableau_operations[[#This Row],[Cout_presta_ha]]),0)</f>
      </c>
      <c r="R4" s="41"/>
    </row>
    <row r="5" ht="33.6">
      <c r="A5" s="27" t="s">
        <v>630</v>
      </c>
      <c r="B5" s="28" t="s">
        <v>86</v>
      </c>
      <c r="C5" s="28" t="s">
        <v>87</v>
      </c>
      <c r="D5" s="28">
        <v>2</v>
      </c>
      <c r="E5" s="28" t="s">
        <v>73</v>
      </c>
      <c r="F5" s="28" t="s">
        <v>53</v>
      </c>
      <c r="G5" s="28" t="s">
        <v>221</v>
      </c>
      <c r="H5" s="29" t="s">
        <v>59</v>
      </c>
      <c r="I5" s="31">
        <v>5</v>
      </c>
      <c r="J5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" s="29"/>
      <c r="L5" s="31">
        <f>IF(Tableau_operations[[#This Row],[Code_machine]]="",0,N(Tableau_operations[[#This Row],[h_MO_ha]]))</f>
      </c>
      <c r="M5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5" s="33" t="s">
        <v>224</v>
      </c>
      <c r="O5" s="31">
        <v>90</v>
      </c>
      <c r="P5" s="39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>180</v>
      </c>
      <c r="Q5" s="41">
        <f>IFERROR(SUM(Tableau_operations[[#This Row],[Cout_MO_ha]],Tableau_operations[[#This Row],[Cout_machine_ha]],Tableau_operations[[#This Row],[Cout_intrant_ha]],Tableau_operations[[#This Row],[Cout_presta_ha]]),0)</f>
      </c>
      <c r="R5" s="41"/>
    </row>
    <row r="6" ht="16.8">
      <c r="A6" s="27" t="s">
        <v>631</v>
      </c>
      <c r="B6" s="28" t="s">
        <v>86</v>
      </c>
      <c r="C6" s="28" t="s">
        <v>88</v>
      </c>
      <c r="D6" s="28">
        <v>2</v>
      </c>
      <c r="E6" s="28" t="s">
        <v>73</v>
      </c>
      <c r="F6" s="28" t="s">
        <v>68</v>
      </c>
      <c r="G6" s="28"/>
      <c r="H6" s="29"/>
      <c r="I6" s="31"/>
      <c r="J6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6" s="29"/>
      <c r="L6" s="31">
        <f>IF(Tableau_operations[[#This Row],[Code_machine]]="",0,N(Tableau_operations[[#This Row],[h_MO_ha]]))</f>
      </c>
      <c r="M6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6" s="33"/>
      <c r="O6" s="31"/>
      <c r="P6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6" s="41">
        <f>IFERROR(SUM(Tableau_operations[[#This Row],[Cout_MO_ha]],Tableau_operations[[#This Row],[Cout_machine_ha]],Tableau_operations[[#This Row],[Cout_intrant_ha]],Tableau_operations[[#This Row],[Cout_presta_ha]]),0)</f>
      </c>
      <c r="R6" s="41"/>
    </row>
    <row r="7" ht="16.8">
      <c r="A7" s="27" t="s">
        <v>632</v>
      </c>
      <c r="B7" s="28" t="s">
        <v>55</v>
      </c>
      <c r="C7" s="28" t="s">
        <v>56</v>
      </c>
      <c r="D7" s="28">
        <v>3</v>
      </c>
      <c r="E7" s="28" t="s">
        <v>52</v>
      </c>
      <c r="F7" s="28" t="s">
        <v>53</v>
      </c>
      <c r="G7" s="28" t="s">
        <v>191</v>
      </c>
      <c r="H7" s="29" t="s">
        <v>54</v>
      </c>
      <c r="I7" s="31">
        <v>2</v>
      </c>
      <c r="J7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7" s="29" t="s">
        <v>57</v>
      </c>
      <c r="L7" s="31">
        <f>IF(Tableau_operations[[#This Row],[Code_machine]]="",0,N(Tableau_operations[[#This Row],[h_MO_ha]]))</f>
      </c>
      <c r="M7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145.12802129027835</v>
      </c>
      <c r="N7" s="33"/>
      <c r="O7" s="31"/>
      <c r="P7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7" s="41">
        <f>IFERROR(SUM(Tableau_operations[[#This Row],[Cout_MO_ha]],Tableau_operations[[#This Row],[Cout_machine_ha]],Tableau_operations[[#This Row],[Cout_intrant_ha]],Tableau_operations[[#This Row],[Cout_presta_ha]]),0)</f>
      </c>
      <c r="R7" s="41"/>
    </row>
    <row r="8" ht="16.8">
      <c r="A8" s="27" t="s">
        <v>633</v>
      </c>
      <c r="B8" s="28" t="s">
        <v>55</v>
      </c>
      <c r="C8" s="28" t="s">
        <v>58</v>
      </c>
      <c r="D8" s="28">
        <v>3</v>
      </c>
      <c r="E8" s="28" t="s">
        <v>52</v>
      </c>
      <c r="F8" s="28" t="s">
        <v>53</v>
      </c>
      <c r="G8" s="28" t="s">
        <v>192</v>
      </c>
      <c r="H8" s="29" t="s">
        <v>59</v>
      </c>
      <c r="I8" s="31">
        <v>7</v>
      </c>
      <c r="J8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8" s="29"/>
      <c r="L8" s="31">
        <f>IF(Tableau_operations[[#This Row],[Code_machine]]="",0,N(Tableau_operations[[#This Row],[h_MO_ha]]))</f>
      </c>
      <c r="M8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8" s="33"/>
      <c r="O8" s="31"/>
      <c r="P8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8" s="41">
        <f>IFERROR(SUM(Tableau_operations[[#This Row],[Cout_MO_ha]],Tableau_operations[[#This Row],[Cout_machine_ha]],Tableau_operations[[#This Row],[Cout_intrant_ha]],Tableau_operations[[#This Row],[Cout_presta_ha]]),0)</f>
      </c>
      <c r="R8" s="41"/>
    </row>
    <row r="9" ht="16.8">
      <c r="A9" s="27" t="s">
        <v>634</v>
      </c>
      <c r="B9" s="28" t="s">
        <v>55</v>
      </c>
      <c r="C9" s="28" t="s">
        <v>56</v>
      </c>
      <c r="D9" s="28">
        <v>3</v>
      </c>
      <c r="E9" s="28" t="s">
        <v>60</v>
      </c>
      <c r="F9" s="28" t="s">
        <v>53</v>
      </c>
      <c r="G9" s="28"/>
      <c r="H9" s="29" t="s">
        <v>54</v>
      </c>
      <c r="I9" s="31"/>
      <c r="J9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9" s="29" t="s">
        <v>57</v>
      </c>
      <c r="L9" s="31">
        <f>IF(Tableau_operations[[#This Row],[Code_machine]]="",0,N(Tableau_operations[[#This Row],[h_MO_ha]]))</f>
      </c>
      <c r="M9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9" s="33"/>
      <c r="O9" s="31"/>
      <c r="P9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9" s="41">
        <f>IFERROR(SUM(Tableau_operations[[#This Row],[Cout_MO_ha]],Tableau_operations[[#This Row],[Cout_machine_ha]],Tableau_operations[[#This Row],[Cout_intrant_ha]],Tableau_operations[[#This Row],[Cout_presta_ha]]),0)</f>
      </c>
      <c r="R9" s="41"/>
    </row>
    <row r="10" ht="33.6">
      <c r="A10" s="27" t="s">
        <v>635</v>
      </c>
      <c r="B10" s="28" t="s">
        <v>55</v>
      </c>
      <c r="C10" s="28" t="s">
        <v>58</v>
      </c>
      <c r="D10" s="28">
        <v>3</v>
      </c>
      <c r="E10" s="28" t="s">
        <v>60</v>
      </c>
      <c r="F10" s="28" t="s">
        <v>53</v>
      </c>
      <c r="G10" s="28" t="s">
        <v>234</v>
      </c>
      <c r="H10" s="29" t="s">
        <v>59</v>
      </c>
      <c r="I10" s="31">
        <v>3</v>
      </c>
      <c r="J10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10" s="29"/>
      <c r="L10" s="31">
        <f>IF(Tableau_operations[[#This Row],[Code_machine]]="",0,N(Tableau_operations[[#This Row],[h_MO_ha]]))</f>
      </c>
      <c r="M10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10" s="33"/>
      <c r="O10" s="31"/>
      <c r="P10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10" s="41">
        <f>IFERROR(SUM(Tableau_operations[[#This Row],[Cout_MO_ha]],Tableau_operations[[#This Row],[Cout_machine_ha]],Tableau_operations[[#This Row],[Cout_intrant_ha]],Tableau_operations[[#This Row],[Cout_presta_ha]]),0)</f>
      </c>
      <c r="R10" s="41"/>
    </row>
    <row r="11" ht="16.8">
      <c r="A11" s="27" t="s">
        <v>636</v>
      </c>
      <c r="B11" s="28" t="s">
        <v>61</v>
      </c>
      <c r="C11" s="28" t="s">
        <v>62</v>
      </c>
      <c r="D11" s="28">
        <v>3</v>
      </c>
      <c r="E11" s="28" t="s">
        <v>52</v>
      </c>
      <c r="F11" s="28" t="s">
        <v>53</v>
      </c>
      <c r="G11" s="28" t="s">
        <v>162</v>
      </c>
      <c r="H11" s="29" t="s">
        <v>59</v>
      </c>
      <c r="I11" s="31">
        <v>170</v>
      </c>
      <c r="J11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11" s="29"/>
      <c r="L11" s="31">
        <f>IF(Tableau_operations[[#This Row],[Code_machine]]="",0,N(Tableau_operations[[#This Row],[h_MO_ha]]))</f>
      </c>
      <c r="M11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11" s="33"/>
      <c r="O11" s="31"/>
      <c r="P11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11" s="41">
        <f>IFERROR(SUM(Tableau_operations[[#This Row],[Cout_MO_ha]],Tableau_operations[[#This Row],[Cout_machine_ha]],Tableau_operations[[#This Row],[Cout_intrant_ha]],Tableau_operations[[#This Row],[Cout_presta_ha]]),0)</f>
      </c>
      <c r="R11" s="41"/>
    </row>
    <row r="12" ht="16.8">
      <c r="A12" s="27" t="s">
        <v>637</v>
      </c>
      <c r="B12" s="28" t="s">
        <v>61</v>
      </c>
      <c r="C12" s="28" t="s">
        <v>63</v>
      </c>
      <c r="D12" s="28">
        <v>3</v>
      </c>
      <c r="E12" s="28" t="s">
        <v>52</v>
      </c>
      <c r="F12" s="28" t="s">
        <v>53</v>
      </c>
      <c r="G12" s="28" t="s">
        <v>188</v>
      </c>
      <c r="H12" s="29" t="s">
        <v>59</v>
      </c>
      <c r="I12" s="31">
        <v>120</v>
      </c>
      <c r="J12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12" s="29"/>
      <c r="L12" s="31">
        <f>IF(Tableau_operations[[#This Row],[Code_machine]]="",0,N(Tableau_operations[[#This Row],[h_MO_ha]]))</f>
      </c>
      <c r="M12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12" s="33"/>
      <c r="O12" s="31"/>
      <c r="P12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12" s="41">
        <f>IFERROR(SUM(Tableau_operations[[#This Row],[Cout_MO_ha]],Tableau_operations[[#This Row],[Cout_machine_ha]],Tableau_operations[[#This Row],[Cout_intrant_ha]],Tableau_operations[[#This Row],[Cout_presta_ha]]),0)</f>
      </c>
      <c r="R12" s="41"/>
    </row>
    <row r="13" ht="16.8">
      <c r="A13" s="27" t="s">
        <v>638</v>
      </c>
      <c r="B13" s="28" t="s">
        <v>61</v>
      </c>
      <c r="C13" s="28" t="s">
        <v>64</v>
      </c>
      <c r="D13" s="28">
        <v>3</v>
      </c>
      <c r="E13" s="28" t="s">
        <v>52</v>
      </c>
      <c r="F13" s="28" t="s">
        <v>53</v>
      </c>
      <c r="G13" s="28" t="s">
        <v>188</v>
      </c>
      <c r="H13" s="29" t="s">
        <v>59</v>
      </c>
      <c r="I13" s="31">
        <v>120</v>
      </c>
      <c r="J13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13" s="29"/>
      <c r="L13" s="31">
        <f>IF(Tableau_operations[[#This Row],[Code_machine]]="",0,N(Tableau_operations[[#This Row],[h_MO_ha]]))</f>
      </c>
      <c r="M13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13" s="33"/>
      <c r="O13" s="32"/>
      <c r="P13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13" s="41">
        <f>IFERROR(SUM(Tableau_operations[[#This Row],[Cout_MO_ha]],Tableau_operations[[#This Row],[Cout_machine_ha]],Tableau_operations[[#This Row],[Cout_intrant_ha]],Tableau_operations[[#This Row],[Cout_presta_ha]]),0)</f>
      </c>
      <c r="R13" s="41"/>
    </row>
    <row r="14" ht="16.8">
      <c r="A14" s="27" t="s">
        <v>639</v>
      </c>
      <c r="B14" s="28" t="s">
        <v>61</v>
      </c>
      <c r="C14" s="28" t="s">
        <v>65</v>
      </c>
      <c r="D14" s="28">
        <v>3</v>
      </c>
      <c r="E14" s="28" t="s">
        <v>60</v>
      </c>
      <c r="F14" s="28" t="s">
        <v>53</v>
      </c>
      <c r="G14" s="28"/>
      <c r="H14" s="29" t="s">
        <v>59</v>
      </c>
      <c r="I14" s="31">
        <v>85</v>
      </c>
      <c r="J14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14" s="29"/>
      <c r="L14" s="31">
        <f>IF(Tableau_operations[[#This Row],[Code_machine]]="",0,N(Tableau_operations[[#This Row],[h_MO_ha]]))</f>
      </c>
      <c r="M14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14" s="33"/>
      <c r="O14" s="32"/>
      <c r="P14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14" s="41">
        <f>IFERROR(SUM(Tableau_operations[[#This Row],[Cout_MO_ha]],Tableau_operations[[#This Row],[Cout_machine_ha]],Tableau_operations[[#This Row],[Cout_intrant_ha]],Tableau_operations[[#This Row],[Cout_presta_ha]]),0)</f>
      </c>
      <c r="R14" s="41"/>
    </row>
    <row r="15" ht="16.8">
      <c r="A15" s="27" t="s">
        <v>640</v>
      </c>
      <c r="B15" s="28" t="s">
        <v>61</v>
      </c>
      <c r="C15" s="28" t="s">
        <v>233</v>
      </c>
      <c r="D15" s="28">
        <v>3</v>
      </c>
      <c r="E15" s="28" t="s">
        <v>52</v>
      </c>
      <c r="F15" s="28" t="s">
        <v>53</v>
      </c>
      <c r="G15" s="28"/>
      <c r="H15" s="106" t="s">
        <v>59</v>
      </c>
      <c r="I15" s="31">
        <v>110</v>
      </c>
      <c r="J15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15" s="106"/>
      <c r="L15" s="31">
        <f>IF(Tableau_operations[[#This Row],[Code_machine]]="",0,N(Tableau_operations[[#This Row],[h_MO_ha]]))</f>
      </c>
      <c r="M15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15" s="107"/>
      <c r="O15" s="108"/>
      <c r="P15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15" s="41">
        <f>IFERROR(SUM(Tableau_operations[[#This Row],[Cout_MO_ha]],Tableau_operations[[#This Row],[Cout_machine_ha]],Tableau_operations[[#This Row],[Cout_intrant_ha]],Tableau_operations[[#This Row],[Cout_presta_ha]]),0)</f>
      </c>
      <c r="R15" s="41"/>
    </row>
    <row r="16" ht="33.6">
      <c r="A16" s="27" t="s">
        <v>641</v>
      </c>
      <c r="B16" s="28" t="s">
        <v>61</v>
      </c>
      <c r="C16" s="28" t="s">
        <v>66</v>
      </c>
      <c r="D16" s="28">
        <v>3</v>
      </c>
      <c r="E16" s="28" t="s">
        <v>52</v>
      </c>
      <c r="F16" s="28" t="s">
        <v>53</v>
      </c>
      <c r="G16" s="28" t="s">
        <v>189</v>
      </c>
      <c r="H16" s="29" t="s">
        <v>59</v>
      </c>
      <c r="I16" s="31">
        <v>150</v>
      </c>
      <c r="J16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16" s="29"/>
      <c r="L16" s="31">
        <f>IF(Tableau_operations[[#This Row],[Code_machine]]="",0,N(Tableau_operations[[#This Row],[h_MO_ha]]))</f>
      </c>
      <c r="M16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16" s="33"/>
      <c r="O16" s="31"/>
      <c r="P16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16" s="41">
        <f>IFERROR(SUM(Tableau_operations[[#This Row],[Cout_MO_ha]],Tableau_operations[[#This Row],[Cout_machine_ha]],Tableau_operations[[#This Row],[Cout_intrant_ha]],Tableau_operations[[#This Row],[Cout_presta_ha]]),0)</f>
      </c>
      <c r="R16" s="41"/>
    </row>
    <row r="17" ht="16.8">
      <c r="A17" s="27" t="s">
        <v>642</v>
      </c>
      <c r="B17" s="28" t="s">
        <v>61</v>
      </c>
      <c r="C17" s="28" t="s">
        <v>67</v>
      </c>
      <c r="D17" s="28">
        <v>3</v>
      </c>
      <c r="E17" s="28" t="s">
        <v>52</v>
      </c>
      <c r="F17" s="28" t="s">
        <v>68</v>
      </c>
      <c r="G17" s="28" t="s">
        <v>222</v>
      </c>
      <c r="H17" s="29" t="s">
        <v>142</v>
      </c>
      <c r="I17" s="31">
        <v>150</v>
      </c>
      <c r="J17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17" s="29"/>
      <c r="L17" s="31">
        <f>IF(Tableau_operations[[#This Row],[Code_machine]]="",0,N(Tableau_operations[[#This Row],[h_MO_ha]]))</f>
      </c>
      <c r="M17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17" s="33"/>
      <c r="O17" s="31"/>
      <c r="P17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17" s="41">
        <f>IFERROR(SUM(Tableau_operations[[#This Row],[Cout_MO_ha]],Tableau_operations[[#This Row],[Cout_machine_ha]],Tableau_operations[[#This Row],[Cout_intrant_ha]],Tableau_operations[[#This Row],[Cout_presta_ha]]),0)</f>
      </c>
      <c r="R17" s="41"/>
    </row>
    <row r="18" ht="16.8">
      <c r="A18" s="27" t="s">
        <v>643</v>
      </c>
      <c r="B18" s="28" t="s">
        <v>61</v>
      </c>
      <c r="C18" s="28" t="s">
        <v>69</v>
      </c>
      <c r="D18" s="28">
        <v>3</v>
      </c>
      <c r="E18" s="28" t="s">
        <v>60</v>
      </c>
      <c r="F18" s="28" t="s">
        <v>53</v>
      </c>
      <c r="G18" s="28"/>
      <c r="H18" s="29" t="s">
        <v>59</v>
      </c>
      <c r="I18" s="31">
        <v>80</v>
      </c>
      <c r="J18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18" s="29"/>
      <c r="L18" s="31">
        <f>IF(Tableau_operations[[#This Row],[Code_machine]]="",0,N(Tableau_operations[[#This Row],[h_MO_ha]]))</f>
      </c>
      <c r="M18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18" s="33"/>
      <c r="O18" s="31"/>
      <c r="P18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18" s="41">
        <f>IFERROR(SUM(Tableau_operations[[#This Row],[Cout_MO_ha]],Tableau_operations[[#This Row],[Cout_machine_ha]],Tableau_operations[[#This Row],[Cout_intrant_ha]],Tableau_operations[[#This Row],[Cout_presta_ha]]),0)</f>
      </c>
      <c r="R18" s="41"/>
    </row>
    <row r="19" ht="16.8">
      <c r="A19" s="27" t="s">
        <v>644</v>
      </c>
      <c r="B19" s="28" t="s">
        <v>61</v>
      </c>
      <c r="C19" s="28" t="s">
        <v>70</v>
      </c>
      <c r="D19" s="28">
        <v>3</v>
      </c>
      <c r="E19" s="28" t="s">
        <v>60</v>
      </c>
      <c r="F19" s="28" t="s">
        <v>68</v>
      </c>
      <c r="G19" s="28"/>
      <c r="H19" s="29" t="s">
        <v>142</v>
      </c>
      <c r="I19" s="31"/>
      <c r="J19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19" s="29"/>
      <c r="L19" s="31">
        <f>IF(Tableau_operations[[#This Row],[Code_machine]]="",0,N(Tableau_operations[[#This Row],[h_MO_ha]]))</f>
      </c>
      <c r="M19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19" s="33"/>
      <c r="O19" s="31"/>
      <c r="P19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19" s="41">
        <f>IFERROR(SUM(Tableau_operations[[#This Row],[Cout_MO_ha]],Tableau_operations[[#This Row],[Cout_machine_ha]],Tableau_operations[[#This Row],[Cout_intrant_ha]],Tableau_operations[[#This Row],[Cout_presta_ha]]),0)</f>
      </c>
      <c r="R19" s="41"/>
    </row>
    <row r="20" ht="16.8">
      <c r="A20" s="27" t="s">
        <v>645</v>
      </c>
      <c r="B20" s="28" t="s">
        <v>93</v>
      </c>
      <c r="C20" s="28" t="s">
        <v>94</v>
      </c>
      <c r="D20" s="28">
        <v>4</v>
      </c>
      <c r="E20" s="28" t="s">
        <v>52</v>
      </c>
      <c r="F20" s="28" t="s">
        <v>53</v>
      </c>
      <c r="G20" s="28" t="s">
        <v>223</v>
      </c>
      <c r="H20" s="29" t="s">
        <v>59</v>
      </c>
      <c r="I20" s="31">
        <v>21</v>
      </c>
      <c r="J20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20" s="29"/>
      <c r="L20" s="31">
        <f>IF(Tableau_operations[[#This Row],[Code_machine]]="",0,N(Tableau_operations[[#This Row],[h_MO_ha]]))</f>
      </c>
      <c r="M20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20" s="33"/>
      <c r="O20" s="32"/>
      <c r="P20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20" s="41">
        <f>IFERROR(SUM(Tableau_operations[[#This Row],[Cout_MO_ha]],Tableau_operations[[#This Row],[Cout_machine_ha]],Tableau_operations[[#This Row],[Cout_intrant_ha]],Tableau_operations[[#This Row],[Cout_presta_ha]]),0)</f>
      </c>
      <c r="R20" s="41"/>
    </row>
    <row r="21" ht="16.8">
      <c r="A21" s="27" t="s">
        <v>646</v>
      </c>
      <c r="B21" s="28" t="s">
        <v>93</v>
      </c>
      <c r="C21" s="28" t="s">
        <v>95</v>
      </c>
      <c r="D21" s="28">
        <v>4</v>
      </c>
      <c r="E21" s="28" t="s">
        <v>60</v>
      </c>
      <c r="F21" s="28" t="s">
        <v>53</v>
      </c>
      <c r="G21" s="28"/>
      <c r="H21" s="29" t="s">
        <v>59</v>
      </c>
      <c r="I21" s="31">
        <v>18</v>
      </c>
      <c r="J21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21" s="29"/>
      <c r="L21" s="31">
        <f>IF(Tableau_operations[[#This Row],[Code_machine]]="",0,N(Tableau_operations[[#This Row],[h_MO_ha]]))</f>
      </c>
      <c r="M21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21" s="33"/>
      <c r="O21" s="32"/>
      <c r="P21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21" s="41">
        <f>IFERROR(SUM(Tableau_operations[[#This Row],[Cout_MO_ha]],Tableau_operations[[#This Row],[Cout_machine_ha]],Tableau_operations[[#This Row],[Cout_intrant_ha]],Tableau_operations[[#This Row],[Cout_presta_ha]]),0)</f>
      </c>
      <c r="R21" s="41"/>
    </row>
    <row r="22" ht="16.8">
      <c r="A22" s="27" t="s">
        <v>647</v>
      </c>
      <c r="B22" s="28" t="s">
        <v>93</v>
      </c>
      <c r="C22" s="28" t="s">
        <v>96</v>
      </c>
      <c r="D22" s="28">
        <v>4</v>
      </c>
      <c r="E22" s="28" t="s">
        <v>52</v>
      </c>
      <c r="F22" s="28" t="s">
        <v>68</v>
      </c>
      <c r="G22" s="28"/>
      <c r="H22" s="29"/>
      <c r="I22" s="31"/>
      <c r="J22" s="134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22" s="29"/>
      <c r="L22" s="31">
        <f>IF(Tableau_operations[[#This Row],[Code_machine]]="",0,N(Tableau_operations[[#This Row],[h_MO_ha]]))</f>
      </c>
      <c r="M22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22" s="33"/>
      <c r="O22" s="32"/>
      <c r="P22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22" s="41">
        <f>IFERROR(SUM(Tableau_operations[[#This Row],[Cout_MO_ha]],Tableau_operations[[#This Row],[Cout_machine_ha]],Tableau_operations[[#This Row],[Cout_intrant_ha]],Tableau_operations[[#This Row],[Cout_presta_ha]]),0)</f>
      </c>
      <c r="R22" s="41">
        <v>2100.0</v>
      </c>
    </row>
    <row r="23" ht="16.8">
      <c r="A23" s="27" t="s">
        <v>648</v>
      </c>
      <c r="B23" s="28" t="s">
        <v>93</v>
      </c>
      <c r="C23" s="28" t="s">
        <v>97</v>
      </c>
      <c r="D23" s="28">
        <v>4</v>
      </c>
      <c r="E23" s="28" t="s">
        <v>60</v>
      </c>
      <c r="F23" s="28" t="s">
        <v>68</v>
      </c>
      <c r="G23" s="28"/>
      <c r="H23" s="29"/>
      <c r="I23" s="31"/>
      <c r="J23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23" s="29"/>
      <c r="L23" s="31">
        <f>IF(Tableau_operations[[#This Row],[Code_machine]]="",0,N(Tableau_operations[[#This Row],[h_MO_ha]]))</f>
      </c>
      <c r="M23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23" s="33"/>
      <c r="O23" s="32"/>
      <c r="P23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23" s="41">
        <f>IFERROR(SUM(Tableau_operations[[#This Row],[Cout_MO_ha]],Tableau_operations[[#This Row],[Cout_machine_ha]],Tableau_operations[[#This Row],[Cout_intrant_ha]],Tableau_operations[[#This Row],[Cout_presta_ha]]),0)</f>
      </c>
      <c r="R23" s="41"/>
    </row>
    <row r="24" ht="16.8">
      <c r="A24" s="27" t="s">
        <v>649</v>
      </c>
      <c r="B24" s="28" t="s">
        <v>71</v>
      </c>
      <c r="C24" s="28" t="s">
        <v>72</v>
      </c>
      <c r="D24" s="28">
        <v>5</v>
      </c>
      <c r="E24" s="28" t="s">
        <v>73</v>
      </c>
      <c r="F24" s="28" t="s">
        <v>53</v>
      </c>
      <c r="G24" s="28"/>
      <c r="H24" s="29" t="s">
        <v>54</v>
      </c>
      <c r="I24" s="31">
        <v>15</v>
      </c>
      <c r="J24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24" s="29"/>
      <c r="L24" s="31">
        <f>IF(Tableau_operations[[#This Row],[Code_machine]]="",0,N(Tableau_operations[[#This Row],[h_MO_ha]]))</f>
      </c>
      <c r="M24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24" s="33"/>
      <c r="O24" s="31"/>
      <c r="P24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24" s="41">
        <f>IFERROR(SUM(Tableau_operations[[#This Row],[Cout_MO_ha]],Tableau_operations[[#This Row],[Cout_machine_ha]],Tableau_operations[[#This Row],[Cout_intrant_ha]],Tableau_operations[[#This Row],[Cout_presta_ha]]),0)</f>
      </c>
      <c r="R24" s="41"/>
    </row>
    <row r="25" ht="16.8">
      <c r="A25" s="27" t="s">
        <v>650</v>
      </c>
      <c r="B25" s="28" t="s">
        <v>74</v>
      </c>
      <c r="C25" s="28" t="s">
        <v>75</v>
      </c>
      <c r="D25" s="28">
        <v>5</v>
      </c>
      <c r="E25" s="28" t="s">
        <v>52</v>
      </c>
      <c r="F25" s="28" t="s">
        <v>53</v>
      </c>
      <c r="G25" s="28"/>
      <c r="H25" s="29" t="s">
        <v>54</v>
      </c>
      <c r="I25" s="31">
        <v>4</v>
      </c>
      <c r="J25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25" s="29" t="s">
        <v>57</v>
      </c>
      <c r="L25" s="31">
        <f>IF(Tableau_operations[[#This Row],[Code_machine]]="",0,N(Tableau_operations[[#This Row],[h_MO_ha]]))</f>
      </c>
      <c r="M25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290.25604258055671</v>
      </c>
      <c r="N25" s="33"/>
      <c r="O25" s="31"/>
      <c r="P25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25" s="41">
        <f>IFERROR(SUM(Tableau_operations[[#This Row],[Cout_MO_ha]],Tableau_operations[[#This Row],[Cout_machine_ha]],Tableau_operations[[#This Row],[Cout_intrant_ha]],Tableau_operations[[#This Row],[Cout_presta_ha]]),0)</f>
      </c>
      <c r="R25" s="41"/>
    </row>
    <row r="26" ht="16.8">
      <c r="A26" s="27" t="s">
        <v>651</v>
      </c>
      <c r="B26" s="28" t="s">
        <v>74</v>
      </c>
      <c r="C26" s="28" t="s">
        <v>76</v>
      </c>
      <c r="D26" s="28">
        <v>5</v>
      </c>
      <c r="E26" s="28" t="s">
        <v>52</v>
      </c>
      <c r="F26" s="28" t="s">
        <v>68</v>
      </c>
      <c r="G26" s="28"/>
      <c r="H26" s="29"/>
      <c r="I26" s="31">
        <v>4</v>
      </c>
      <c r="J26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26" s="29"/>
      <c r="L26" s="31">
        <f>IF(Tableau_operations[[#This Row],[Code_machine]]="",0,N(Tableau_operations[[#This Row],[h_MO_ha]]))</f>
      </c>
      <c r="M26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26" s="33"/>
      <c r="O26" s="31"/>
      <c r="P26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26" s="41">
        <f>IFERROR(SUM(Tableau_operations[[#This Row],[Cout_MO_ha]],Tableau_operations[[#This Row],[Cout_machine_ha]],Tableau_operations[[#This Row],[Cout_intrant_ha]],Tableau_operations[[#This Row],[Cout_presta_ha]]),0)</f>
      </c>
      <c r="R26" s="41">
        <v>150.0</v>
      </c>
    </row>
    <row r="27" ht="16.8">
      <c r="A27" s="27" t="s">
        <v>652</v>
      </c>
      <c r="B27" s="28" t="s">
        <v>74</v>
      </c>
      <c r="C27" s="28" t="s">
        <v>75</v>
      </c>
      <c r="D27" s="28">
        <v>5</v>
      </c>
      <c r="E27" s="28" t="s">
        <v>60</v>
      </c>
      <c r="F27" s="28" t="s">
        <v>53</v>
      </c>
      <c r="G27" s="28"/>
      <c r="H27" s="29" t="s">
        <v>54</v>
      </c>
      <c r="I27" s="31">
        <v>4</v>
      </c>
      <c r="J27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27" s="29"/>
      <c r="L27" s="31">
        <f>IF(Tableau_operations[[#This Row],[Code_machine]]="",0,N(Tableau_operations[[#This Row],[h_MO_ha]]))</f>
      </c>
      <c r="M27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27" s="33"/>
      <c r="O27" s="31"/>
      <c r="P27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27" s="41">
        <f>IFERROR(SUM(Tableau_operations[[#This Row],[Cout_MO_ha]],Tableau_operations[[#This Row],[Cout_machine_ha]],Tableau_operations[[#This Row],[Cout_intrant_ha]],Tableau_operations[[#This Row],[Cout_presta_ha]]),0)</f>
      </c>
      <c r="R27" s="41"/>
    </row>
    <row r="28" ht="16.8">
      <c r="A28" s="27" t="s">
        <v>653</v>
      </c>
      <c r="B28" s="28" t="s">
        <v>74</v>
      </c>
      <c r="C28" s="28" t="s">
        <v>76</v>
      </c>
      <c r="D28" s="28">
        <v>5</v>
      </c>
      <c r="E28" s="28" t="s">
        <v>60</v>
      </c>
      <c r="F28" s="28" t="s">
        <v>68</v>
      </c>
      <c r="G28" s="28"/>
      <c r="H28" s="29"/>
      <c r="I28" s="31">
        <v>4</v>
      </c>
      <c r="J28" s="134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28" s="29"/>
      <c r="L28" s="31">
        <f>IF(Tableau_operations[[#This Row],[Code_machine]]="",0,N(Tableau_operations[[#This Row],[h_MO_ha]]))</f>
      </c>
      <c r="M28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28" s="33"/>
      <c r="O28" s="31"/>
      <c r="P28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28" s="41">
        <f>IFERROR(SUM(Tableau_operations[[#This Row],[Cout_MO_ha]],Tableau_operations[[#This Row],[Cout_machine_ha]],Tableau_operations[[#This Row],[Cout_intrant_ha]],Tableau_operations[[#This Row],[Cout_presta_ha]]),0)</f>
      </c>
      <c r="R28" s="41">
        <v>350.0</v>
      </c>
    </row>
    <row r="29" ht="16.8">
      <c r="A29" s="27" t="s">
        <v>654</v>
      </c>
      <c r="B29" s="28" t="s">
        <v>91</v>
      </c>
      <c r="C29" s="28" t="s">
        <v>91</v>
      </c>
      <c r="D29" s="28">
        <v>5</v>
      </c>
      <c r="E29" s="28" t="s">
        <v>52</v>
      </c>
      <c r="F29" s="28" t="s">
        <v>53</v>
      </c>
      <c r="G29" s="28"/>
      <c r="H29" s="29"/>
      <c r="I29" s="31"/>
      <c r="J29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29" s="29"/>
      <c r="L29" s="31">
        <f>IF(Tableau_operations[[#This Row],[Code_machine]]="",0,N(Tableau_operations[[#This Row],[h_MO_ha]]))</f>
      </c>
      <c r="M29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29" s="33"/>
      <c r="O29" s="31"/>
      <c r="P29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29" s="41">
        <f>IFERROR(SUM(Tableau_operations[[#This Row],[Cout_MO_ha]],Tableau_operations[[#This Row],[Cout_machine_ha]],Tableau_operations[[#This Row],[Cout_intrant_ha]],Tableau_operations[[#This Row],[Cout_presta_ha]]),0)</f>
      </c>
      <c r="R29" s="41"/>
    </row>
    <row r="30" ht="16.8">
      <c r="A30" s="27" t="s">
        <v>655</v>
      </c>
      <c r="B30" s="28" t="s">
        <v>91</v>
      </c>
      <c r="C30" s="28" t="s">
        <v>91</v>
      </c>
      <c r="D30" s="28">
        <v>5</v>
      </c>
      <c r="E30" s="28" t="s">
        <v>52</v>
      </c>
      <c r="F30" s="28" t="s">
        <v>53</v>
      </c>
      <c r="G30" s="28"/>
      <c r="H30" s="29"/>
      <c r="I30" s="31"/>
      <c r="J30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0" s="29"/>
      <c r="L30" s="31">
        <f>IF(Tableau_operations[[#This Row],[Code_machine]]="",0,N(Tableau_operations[[#This Row],[h_MO_ha]]))</f>
      </c>
      <c r="M30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30" s="33"/>
      <c r="O30" s="31"/>
      <c r="P30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30" s="41">
        <f>IFERROR(SUM(Tableau_operations[[#This Row],[Cout_MO_ha]],Tableau_operations[[#This Row],[Cout_machine_ha]],Tableau_operations[[#This Row],[Cout_intrant_ha]],Tableau_operations[[#This Row],[Cout_presta_ha]]),0)</f>
      </c>
      <c r="R30" s="41"/>
    </row>
    <row r="31" ht="16.8">
      <c r="A31" s="27" t="s">
        <v>656</v>
      </c>
      <c r="B31" s="28" t="s">
        <v>91</v>
      </c>
      <c r="C31" s="28" t="s">
        <v>91</v>
      </c>
      <c r="D31" s="28">
        <v>5</v>
      </c>
      <c r="E31" s="28" t="s">
        <v>52</v>
      </c>
      <c r="F31" s="28" t="s">
        <v>53</v>
      </c>
      <c r="G31" s="28"/>
      <c r="H31" s="29"/>
      <c r="I31" s="31"/>
      <c r="J31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1" s="29"/>
      <c r="L31" s="31">
        <f>IF(Tableau_operations[[#This Row],[Code_machine]]="",0,N(Tableau_operations[[#This Row],[h_MO_ha]]))</f>
      </c>
      <c r="M31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31" s="33"/>
      <c r="O31" s="31"/>
      <c r="P31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31" s="41">
        <f>IFERROR(SUM(Tableau_operations[[#This Row],[Cout_MO_ha]],Tableau_operations[[#This Row],[Cout_machine_ha]],Tableau_operations[[#This Row],[Cout_intrant_ha]],Tableau_operations[[#This Row],[Cout_presta_ha]]),0)</f>
      </c>
      <c r="R31" s="41"/>
    </row>
    <row r="32" ht="16.8">
      <c r="A32" s="27" t="s">
        <v>657</v>
      </c>
      <c r="B32" s="28" t="s">
        <v>91</v>
      </c>
      <c r="C32" s="28" t="s">
        <v>91</v>
      </c>
      <c r="D32" s="28">
        <v>5</v>
      </c>
      <c r="E32" s="28" t="s">
        <v>52</v>
      </c>
      <c r="F32" s="28" t="s">
        <v>53</v>
      </c>
      <c r="G32" s="28"/>
      <c r="H32" s="29"/>
      <c r="I32" s="31"/>
      <c r="J32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2" s="29"/>
      <c r="L32" s="31">
        <f>IF(Tableau_operations[[#This Row],[Code_machine]]="",0,N(Tableau_operations[[#This Row],[h_MO_ha]]))</f>
      </c>
      <c r="M32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32" s="33"/>
      <c r="O32" s="31"/>
      <c r="P32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32" s="41">
        <f>IFERROR(SUM(Tableau_operations[[#This Row],[Cout_MO_ha]],Tableau_operations[[#This Row],[Cout_machine_ha]],Tableau_operations[[#This Row],[Cout_intrant_ha]],Tableau_operations[[#This Row],[Cout_presta_ha]]),0)</f>
      </c>
      <c r="R32" s="41"/>
    </row>
    <row r="33" ht="16.8">
      <c r="A33" s="27" t="s">
        <v>658</v>
      </c>
      <c r="B33" s="28" t="s">
        <v>91</v>
      </c>
      <c r="C33" s="28" t="s">
        <v>510</v>
      </c>
      <c r="D33" s="28">
        <v>5</v>
      </c>
      <c r="E33" s="28" t="s">
        <v>52</v>
      </c>
      <c r="F33" s="28" t="s">
        <v>53</v>
      </c>
      <c r="G33" s="28"/>
      <c r="H33" s="29" t="s">
        <v>54</v>
      </c>
      <c r="I33" s="31">
        <v>0.75</v>
      </c>
      <c r="J33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3" s="29" t="s">
        <v>57</v>
      </c>
      <c r="L33" s="31">
        <f>IF(Tableau_operations[[#This Row],[Code_machine]]="",0,N(Tableau_operations[[#This Row],[h_MO_ha]]))</f>
      </c>
      <c r="M33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54.423007983854383</v>
      </c>
      <c r="N33" s="33" t="s">
        <v>226</v>
      </c>
      <c r="O33" s="31">
        <v>0.8</v>
      </c>
      <c r="P33" s="39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>360</v>
      </c>
      <c r="Q33" s="41">
        <f>IFERROR(SUM(Tableau_operations[[#This Row],[Cout_MO_ha]],Tableau_operations[[#This Row],[Cout_machine_ha]],Tableau_operations[[#This Row],[Cout_intrant_ha]],Tableau_operations[[#This Row],[Cout_presta_ha]]),0)</f>
      </c>
      <c r="R33" s="41"/>
    </row>
    <row r="34" ht="16.8">
      <c r="A34" s="27" t="s">
        <v>659</v>
      </c>
      <c r="B34" s="28" t="s">
        <v>92</v>
      </c>
      <c r="C34" s="28" t="s">
        <v>92</v>
      </c>
      <c r="D34" s="28">
        <v>5</v>
      </c>
      <c r="E34" s="28" t="s">
        <v>52</v>
      </c>
      <c r="F34" s="28" t="s">
        <v>53</v>
      </c>
      <c r="G34" s="28"/>
      <c r="H34" s="29" t="s">
        <v>54</v>
      </c>
      <c r="I34" s="31">
        <v>0.75</v>
      </c>
      <c r="J34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4" s="29" t="s">
        <v>57</v>
      </c>
      <c r="L34" s="31">
        <f>IF(Tableau_operations[[#This Row],[Code_machine]]="",0,N(Tableau_operations[[#This Row],[h_MO_ha]]))</f>
      </c>
      <c r="M34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54.423007983854383</v>
      </c>
      <c r="N34" s="33" t="s">
        <v>227</v>
      </c>
      <c r="O34" s="31">
        <v>30</v>
      </c>
      <c r="P34" s="39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>450</v>
      </c>
      <c r="Q34" s="41">
        <f>IFERROR(SUM(Tableau_operations[[#This Row],[Cout_MO_ha]],Tableau_operations[[#This Row],[Cout_machine_ha]],Tableau_operations[[#This Row],[Cout_intrant_ha]],Tableau_operations[[#This Row],[Cout_presta_ha]]),0)</f>
      </c>
      <c r="R34" s="41"/>
    </row>
    <row r="35" ht="17.55" customHeight="1">
      <c r="A35" s="27" t="s">
        <v>660</v>
      </c>
      <c r="B35" s="28" t="s">
        <v>77</v>
      </c>
      <c r="C35" s="28" t="s">
        <v>78</v>
      </c>
      <c r="D35" s="28">
        <v>6</v>
      </c>
      <c r="E35" s="28" t="s">
        <v>52</v>
      </c>
      <c r="F35" s="28" t="s">
        <v>53</v>
      </c>
      <c r="G35" s="28"/>
      <c r="H35" s="29" t="s">
        <v>54</v>
      </c>
      <c r="I35" s="31">
        <v>5</v>
      </c>
      <c r="J35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5" s="29" t="s">
        <v>57</v>
      </c>
      <c r="L35" s="31">
        <f>IF(Tableau_operations[[#This Row],[Code_machine]]="",0,N(Tableau_operations[[#This Row],[h_MO_ha]]))</f>
      </c>
      <c r="M35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362.82005322569591</v>
      </c>
      <c r="N35" s="33"/>
      <c r="O35" s="32"/>
      <c r="P35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35" s="41">
        <f>IFERROR(SUM(Tableau_operations[[#This Row],[Cout_MO_ha]],Tableau_operations[[#This Row],[Cout_machine_ha]],Tableau_operations[[#This Row],[Cout_intrant_ha]],Tableau_operations[[#This Row],[Cout_presta_ha]]),0)</f>
      </c>
      <c r="R35" s="41"/>
    </row>
    <row r="36" ht="16.8">
      <c r="A36" s="27" t="s">
        <v>661</v>
      </c>
      <c r="B36" s="28" t="s">
        <v>77</v>
      </c>
      <c r="C36" s="28" t="s">
        <v>79</v>
      </c>
      <c r="D36" s="28">
        <v>6</v>
      </c>
      <c r="E36" s="28" t="s">
        <v>52</v>
      </c>
      <c r="F36" s="28" t="s">
        <v>68</v>
      </c>
      <c r="G36" s="28"/>
      <c r="H36" s="29"/>
      <c r="I36" s="31"/>
      <c r="J36" s="127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6" s="29"/>
      <c r="L36" s="31">
        <f>IF(Tableau_operations[[#This Row],[Code_machine]]="",0,N(Tableau_operations[[#This Row],[h_MO_ha]]))</f>
      </c>
      <c r="M36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36" s="33"/>
      <c r="O36" s="32"/>
      <c r="P36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36" s="41">
        <f>IFERROR(SUM(Tableau_operations[[#This Row],[Cout_MO_ha]],Tableau_operations[[#This Row],[Cout_machine_ha]],Tableau_operations[[#This Row],[Cout_intrant_ha]],Tableau_operations[[#This Row],[Cout_presta_ha]]),0)</f>
      </c>
      <c r="R36" s="41">
        <v>450.0</v>
      </c>
    </row>
    <row r="37" ht="16.8">
      <c r="A37" s="27" t="s">
        <v>662</v>
      </c>
      <c r="B37" s="28" t="s">
        <v>77</v>
      </c>
      <c r="C37" s="28" t="s">
        <v>80</v>
      </c>
      <c r="D37" s="28">
        <v>6</v>
      </c>
      <c r="E37" s="28" t="s">
        <v>60</v>
      </c>
      <c r="F37" s="28" t="s">
        <v>53</v>
      </c>
      <c r="G37" s="28"/>
      <c r="H37" s="29" t="s">
        <v>54</v>
      </c>
      <c r="I37" s="31">
        <v>3</v>
      </c>
      <c r="J37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7" s="29"/>
      <c r="L37" s="31">
        <f>IF(Tableau_operations[[#This Row],[Code_machine]]="",0,N(Tableau_operations[[#This Row],[h_MO_ha]]))</f>
      </c>
      <c r="M37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37" s="33"/>
      <c r="O37" s="32"/>
      <c r="P37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37" s="41">
        <f>IFERROR(SUM(Tableau_operations[[#This Row],[Cout_MO_ha]],Tableau_operations[[#This Row],[Cout_machine_ha]],Tableau_operations[[#This Row],[Cout_intrant_ha]],Tableau_operations[[#This Row],[Cout_presta_ha]]),0)</f>
      </c>
      <c r="R37" s="41"/>
    </row>
    <row r="38" ht="16.8">
      <c r="A38" s="27" t="s">
        <v>663</v>
      </c>
      <c r="B38" s="28" t="s">
        <v>77</v>
      </c>
      <c r="C38" s="28" t="s">
        <v>81</v>
      </c>
      <c r="D38" s="28">
        <v>6</v>
      </c>
      <c r="E38" s="28" t="s">
        <v>60</v>
      </c>
      <c r="F38" s="28" t="s">
        <v>68</v>
      </c>
      <c r="G38" s="28"/>
      <c r="H38" s="29"/>
      <c r="I38" s="31"/>
      <c r="J38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8" s="29"/>
      <c r="L38" s="31">
        <f>IF(Tableau_operations[[#This Row],[Code_machine]]="",0,N(Tableau_operations[[#This Row],[h_MO_ha]]))</f>
      </c>
      <c r="M38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38" s="33"/>
      <c r="O38" s="32"/>
      <c r="P38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38" s="41">
        <f>IFERROR(SUM(Tableau_operations[[#This Row],[Cout_MO_ha]],Tableau_operations[[#This Row],[Cout_machine_ha]],Tableau_operations[[#This Row],[Cout_intrant_ha]],Tableau_operations[[#This Row],[Cout_presta_ha]]),0)</f>
      </c>
      <c r="R38" s="41">
        <v>300.0</v>
      </c>
    </row>
    <row r="39" ht="16.8">
      <c r="A39" s="27" t="s">
        <v>664</v>
      </c>
      <c r="B39" s="28" t="s">
        <v>77</v>
      </c>
      <c r="C39" s="28" t="s">
        <v>82</v>
      </c>
      <c r="D39" s="28">
        <v>6</v>
      </c>
      <c r="E39" s="28" t="s">
        <v>60</v>
      </c>
      <c r="F39" s="28" t="s">
        <v>53</v>
      </c>
      <c r="G39" s="28"/>
      <c r="H39" s="29"/>
      <c r="I39" s="31"/>
      <c r="J39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39" s="29"/>
      <c r="L39" s="31">
        <f>IF(Tableau_operations[[#This Row],[Code_machine]]="",0,N(Tableau_operations[[#This Row],[h_MO_ha]]))</f>
      </c>
      <c r="M39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39" s="33"/>
      <c r="O39" s="32"/>
      <c r="P39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39" s="41">
        <f>IFERROR(SUM(Tableau_operations[[#This Row],[Cout_MO_ha]],Tableau_operations[[#This Row],[Cout_machine_ha]],Tableau_operations[[#This Row],[Cout_intrant_ha]],Tableau_operations[[#This Row],[Cout_presta_ha]]),0)</f>
      </c>
      <c r="R39" s="41"/>
    </row>
    <row r="40" ht="16.8">
      <c r="A40" s="27" t="s">
        <v>665</v>
      </c>
      <c r="B40" s="28" t="s">
        <v>77</v>
      </c>
      <c r="C40" s="28" t="s">
        <v>83</v>
      </c>
      <c r="D40" s="28">
        <v>6</v>
      </c>
      <c r="E40" s="28" t="s">
        <v>60</v>
      </c>
      <c r="F40" s="28" t="s">
        <v>68</v>
      </c>
      <c r="G40" s="28"/>
      <c r="H40" s="29"/>
      <c r="I40" s="31"/>
      <c r="J40" s="134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0" s="29"/>
      <c r="L40" s="31">
        <f>IF(Tableau_operations[[#This Row],[Code_machine]]="",0,N(Tableau_operations[[#This Row],[h_MO_ha]]))</f>
      </c>
      <c r="M40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40" s="33"/>
      <c r="O40" s="32"/>
      <c r="P40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40" s="41">
        <f>IFERROR(SUM(Tableau_operations[[#This Row],[Cout_MO_ha]],Tableau_operations[[#This Row],[Cout_machine_ha]],Tableau_operations[[#This Row],[Cout_intrant_ha]],Tableau_operations[[#This Row],[Cout_presta_ha]]),0)</f>
      </c>
      <c r="R40" s="41">
        <v>370.0</v>
      </c>
    </row>
    <row r="41" ht="16.8">
      <c r="A41" s="27" t="s">
        <v>666</v>
      </c>
      <c r="B41" s="28" t="s">
        <v>77</v>
      </c>
      <c r="C41" s="28" t="s">
        <v>84</v>
      </c>
      <c r="D41" s="28">
        <v>6</v>
      </c>
      <c r="E41" s="28" t="s">
        <v>52</v>
      </c>
      <c r="F41" s="28" t="s">
        <v>53</v>
      </c>
      <c r="G41" s="28"/>
      <c r="H41" s="29" t="s">
        <v>54</v>
      </c>
      <c r="I41" s="31">
        <v>1</v>
      </c>
      <c r="J41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1" s="29" t="s">
        <v>57</v>
      </c>
      <c r="L41" s="31">
        <f>IF(Tableau_operations[[#This Row],[Code_machine]]="",0,N(Tableau_operations[[#This Row],[h_MO_ha]]))</f>
      </c>
      <c r="M41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72.564010645139177</v>
      </c>
      <c r="N41" s="33" t="s">
        <v>140</v>
      </c>
      <c r="O41" s="31">
        <v>2.5</v>
      </c>
      <c r="P41" s="39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>6</v>
      </c>
      <c r="Q41" s="41">
        <f>IFERROR(SUM(Tableau_operations[[#This Row],[Cout_MO_ha]],Tableau_operations[[#This Row],[Cout_machine_ha]],Tableau_operations[[#This Row],[Cout_intrant_ha]],Tableau_operations[[#This Row],[Cout_presta_ha]]),0)</f>
      </c>
      <c r="R41" s="41"/>
    </row>
    <row r="42" ht="16.8">
      <c r="A42" s="27" t="s">
        <v>667</v>
      </c>
      <c r="B42" s="28" t="s">
        <v>77</v>
      </c>
      <c r="C42" s="28" t="s">
        <v>85</v>
      </c>
      <c r="D42" s="28">
        <v>6</v>
      </c>
      <c r="E42" s="28" t="s">
        <v>52</v>
      </c>
      <c r="F42" s="28" t="s">
        <v>68</v>
      </c>
      <c r="G42" s="28"/>
      <c r="H42" s="29"/>
      <c r="I42" s="31"/>
      <c r="J42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2" s="29"/>
      <c r="L42" s="31">
        <f>IF(Tableau_operations[[#This Row],[Code_machine]]="",0,N(Tableau_operations[[#This Row],[h_MO_ha]]))</f>
      </c>
      <c r="M42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42" s="33"/>
      <c r="O42" s="32"/>
      <c r="P42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42" s="41">
        <f>IFERROR(SUM(Tableau_operations[[#This Row],[Cout_MO_ha]],Tableau_operations[[#This Row],[Cout_machine_ha]],Tableau_operations[[#This Row],[Cout_intrant_ha]],Tableau_operations[[#This Row],[Cout_presta_ha]]),0)</f>
      </c>
      <c r="R42" s="41">
        <v>150.0</v>
      </c>
    </row>
    <row r="43" ht="16.8">
      <c r="A43" s="27" t="s">
        <v>668</v>
      </c>
      <c r="B43" s="28" t="s">
        <v>89</v>
      </c>
      <c r="C43" s="28" t="s">
        <v>90</v>
      </c>
      <c r="D43" s="28">
        <v>7</v>
      </c>
      <c r="E43" s="28" t="s">
        <v>52</v>
      </c>
      <c r="F43" s="28" t="s">
        <v>53</v>
      </c>
      <c r="G43" s="28"/>
      <c r="H43" s="29" t="s">
        <v>59</v>
      </c>
      <c r="I43" s="31">
        <v>1</v>
      </c>
      <c r="J43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3" s="29"/>
      <c r="L43" s="31">
        <f>IF(Tableau_operations[[#This Row],[Code_machine]]="",0,N(Tableau_operations[[#This Row],[h_MO_ha]]))</f>
      </c>
      <c r="M43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43" s="33" t="s">
        <v>229</v>
      </c>
      <c r="O43" s="31">
        <v>3200</v>
      </c>
      <c r="P43" s="39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>320</v>
      </c>
      <c r="Q43" s="41">
        <f>IFERROR(SUM(Tableau_operations[[#This Row],[Cout_MO_ha]],Tableau_operations[[#This Row],[Cout_machine_ha]],Tableau_operations[[#This Row],[Cout_intrant_ha]],Tableau_operations[[#This Row],[Cout_presta_ha]]),0)</f>
      </c>
      <c r="R43" s="41"/>
    </row>
    <row r="44" ht="16.8">
      <c r="A44" s="27" t="s">
        <v>669</v>
      </c>
      <c r="B44" s="28" t="s">
        <v>99</v>
      </c>
      <c r="C44" s="28" t="s">
        <v>99</v>
      </c>
      <c r="D44" s="28">
        <v>8</v>
      </c>
      <c r="E44" s="28" t="s">
        <v>52</v>
      </c>
      <c r="F44" s="28" t="s">
        <v>53</v>
      </c>
      <c r="G44" s="28" t="s">
        <v>230</v>
      </c>
      <c r="H44" s="31" t="s">
        <v>59</v>
      </c>
      <c r="I44" s="31">
        <v>24</v>
      </c>
      <c r="J44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4" s="29"/>
      <c r="L44" s="31">
        <f>IF(Tableau_operations[[#This Row],[Code_machine]]="",0,N(Tableau_operations[[#This Row],[h_MO_ha]]))</f>
      </c>
      <c r="M44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44" s="33"/>
      <c r="O44" s="31"/>
      <c r="P44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44" s="41">
        <f>IFERROR(SUM(Tableau_operations[[#This Row],[Cout_MO_ha]],Tableau_operations[[#This Row],[Cout_machine_ha]],Tableau_operations[[#This Row],[Cout_intrant_ha]],Tableau_operations[[#This Row],[Cout_presta_ha]]),0)</f>
      </c>
      <c r="R44" s="41"/>
    </row>
    <row r="45" ht="16.8">
      <c r="A45" s="27" t="s">
        <v>670</v>
      </c>
      <c r="B45" s="28" t="s">
        <v>100</v>
      </c>
      <c r="C45" s="28" t="s">
        <v>153</v>
      </c>
      <c r="D45" s="28">
        <v>9</v>
      </c>
      <c r="E45" s="28" t="s">
        <v>52</v>
      </c>
      <c r="F45" s="28" t="s">
        <v>53</v>
      </c>
      <c r="G45" s="28"/>
      <c r="H45" s="29" t="s">
        <v>59</v>
      </c>
      <c r="I45" s="31">
        <v>19</v>
      </c>
      <c r="J45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5" s="29"/>
      <c r="L45" s="31">
        <f>IF(Tableau_operations[[#This Row],[Code_machine]]="",0,N(Tableau_operations[[#This Row],[h_MO_ha]]))</f>
      </c>
      <c r="M45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45" s="33"/>
      <c r="O45" s="31"/>
      <c r="P45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45" s="41">
        <f>IFERROR(SUM(Tableau_operations[[#This Row],[Cout_MO_ha]],Tableau_operations[[#This Row],[Cout_machine_ha]],Tableau_operations[[#This Row],[Cout_intrant_ha]],Tableau_operations[[#This Row],[Cout_presta_ha]]),0)</f>
      </c>
      <c r="R45" s="41"/>
    </row>
    <row r="46" ht="16.8">
      <c r="A46" s="27" t="s">
        <v>671</v>
      </c>
      <c r="B46" s="28" t="s">
        <v>100</v>
      </c>
      <c r="C46" s="28" t="s">
        <v>158</v>
      </c>
      <c r="D46" s="28">
        <v>9</v>
      </c>
      <c r="E46" s="28" t="s">
        <v>52</v>
      </c>
      <c r="F46" s="28" t="s">
        <v>53</v>
      </c>
      <c r="G46" s="28"/>
      <c r="H46" s="29" t="s">
        <v>59</v>
      </c>
      <c r="I46" s="31">
        <v>33</v>
      </c>
      <c r="J46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6" s="29"/>
      <c r="L46" s="31">
        <f>IF(Tableau_operations[[#This Row],[Code_machine]]="",0,N(Tableau_operations[[#This Row],[h_MO_ha]]))</f>
      </c>
      <c r="M46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46" s="33"/>
      <c r="O46" s="31"/>
      <c r="P46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46" s="41">
        <f>IFERROR(SUM(Tableau_operations[[#This Row],[Cout_MO_ha]],Tableau_operations[[#This Row],[Cout_machine_ha]],Tableau_operations[[#This Row],[Cout_intrant_ha]],Tableau_operations[[#This Row],[Cout_presta_ha]]),0)</f>
      </c>
      <c r="R46" s="41"/>
    </row>
    <row r="47" ht="16.8">
      <c r="A47" s="27" t="s">
        <v>672</v>
      </c>
      <c r="B47" s="28" t="s">
        <v>101</v>
      </c>
      <c r="C47" s="28" t="s">
        <v>151</v>
      </c>
      <c r="D47" s="28">
        <v>10</v>
      </c>
      <c r="E47" s="28" t="s">
        <v>73</v>
      </c>
      <c r="F47" s="28" t="s">
        <v>68</v>
      </c>
      <c r="G47" s="28"/>
      <c r="H47" s="29"/>
      <c r="I47" s="31"/>
      <c r="J47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7" s="29"/>
      <c r="L47" s="31">
        <f>IF(Tableau_operations[[#This Row],[Code_machine]]="",0,N(Tableau_operations[[#This Row],[h_MO_ha]]))</f>
      </c>
      <c r="M47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47" s="33"/>
      <c r="O47" s="31"/>
      <c r="P47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47" s="41">
        <f>IFERROR(SUM(Tableau_operations[[#This Row],[Cout_MO_ha]],Tableau_operations[[#This Row],[Cout_machine_ha]],Tableau_operations[[#This Row],[Cout_intrant_ha]],Tableau_operations[[#This Row],[Cout_presta_ha]]),0)</f>
      </c>
      <c r="R47" s="41">
        <v>150.0</v>
      </c>
    </row>
    <row r="48" ht="16.8">
      <c r="A48" s="27" t="s">
        <v>673</v>
      </c>
      <c r="B48" s="28" t="s">
        <v>101</v>
      </c>
      <c r="C48" s="28" t="s">
        <v>281</v>
      </c>
      <c r="D48" s="28">
        <v>10</v>
      </c>
      <c r="E48" s="28" t="s">
        <v>73</v>
      </c>
      <c r="F48" s="28" t="s">
        <v>53</v>
      </c>
      <c r="G48" s="28"/>
      <c r="H48" s="29"/>
      <c r="I48" s="31"/>
      <c r="J48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8" s="29"/>
      <c r="L48" s="31">
        <f>IF(Tableau_operations[[#This Row],[Code_machine]]="",0,N(Tableau_operations[[#This Row],[h_MO_ha]]))</f>
      </c>
      <c r="M48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48" s="33"/>
      <c r="O48" s="31"/>
      <c r="P48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48" s="41">
        <f>IFERROR(SUM(Tableau_operations[[#This Row],[Cout_MO_ha]],Tableau_operations[[#This Row],[Cout_machine_ha]],Tableau_operations[[#This Row],[Cout_intrant_ha]],Tableau_operations[[#This Row],[Cout_presta_ha]]),0)</f>
      </c>
      <c r="R48" s="41"/>
    </row>
    <row r="49" ht="16.8">
      <c r="A49" s="27" t="s">
        <v>674</v>
      </c>
      <c r="B49" s="28" t="s">
        <v>101</v>
      </c>
      <c r="C49" s="28" t="s">
        <v>282</v>
      </c>
      <c r="D49" s="28">
        <v>10</v>
      </c>
      <c r="E49" s="28" t="s">
        <v>73</v>
      </c>
      <c r="F49" s="28" t="s">
        <v>53</v>
      </c>
      <c r="G49" s="28"/>
      <c r="H49" s="29"/>
      <c r="I49" s="31"/>
      <c r="J49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49" s="29"/>
      <c r="L49" s="31">
        <f>IF(Tableau_operations[[#This Row],[Code_machine]]="",0,N(Tableau_operations[[#This Row],[h_MO_ha]]))</f>
      </c>
      <c r="M49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49" s="33"/>
      <c r="O49" s="31"/>
      <c r="P49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49" s="41">
        <f>IFERROR(SUM(Tableau_operations[[#This Row],[Cout_MO_ha]],Tableau_operations[[#This Row],[Cout_machine_ha]],Tableau_operations[[#This Row],[Cout_intrant_ha]],Tableau_operations[[#This Row],[Cout_presta_ha]]),0)</f>
      </c>
      <c r="R49" s="41"/>
    </row>
    <row r="50" ht="16.8">
      <c r="A50" s="27" t="s">
        <v>675</v>
      </c>
      <c r="B50" s="28" t="s">
        <v>101</v>
      </c>
      <c r="C50" s="28" t="s">
        <v>283</v>
      </c>
      <c r="D50" s="28">
        <v>10</v>
      </c>
      <c r="E50" s="28" t="s">
        <v>73</v>
      </c>
      <c r="F50" s="28" t="s">
        <v>53</v>
      </c>
      <c r="G50" s="28"/>
      <c r="H50" s="29"/>
      <c r="I50" s="31"/>
      <c r="J50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0" s="29"/>
      <c r="L50" s="31">
        <f>IF(Tableau_operations[[#This Row],[Code_machine]]="",0,N(Tableau_operations[[#This Row],[h_MO_ha]]))</f>
      </c>
      <c r="M50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50" s="33"/>
      <c r="O50" s="31"/>
      <c r="P50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50" s="41">
        <f>IFERROR(SUM(Tableau_operations[[#This Row],[Cout_MO_ha]],Tableau_operations[[#This Row],[Cout_machine_ha]],Tableau_operations[[#This Row],[Cout_intrant_ha]],Tableau_operations[[#This Row],[Cout_presta_ha]]),0)</f>
      </c>
      <c r="R50" s="41"/>
    </row>
    <row r="51" ht="16.8">
      <c r="A51" s="27" t="s">
        <v>676</v>
      </c>
      <c r="B51" s="28" t="s">
        <v>101</v>
      </c>
      <c r="C51" s="28" t="s">
        <v>152</v>
      </c>
      <c r="D51" s="28">
        <v>10</v>
      </c>
      <c r="E51" s="28" t="s">
        <v>73</v>
      </c>
      <c r="F51" s="28" t="s">
        <v>53</v>
      </c>
      <c r="G51" s="28"/>
      <c r="H51" s="29"/>
      <c r="I51" s="31"/>
      <c r="J51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1" s="29"/>
      <c r="L51" s="31">
        <f>IF(Tableau_operations[[#This Row],[Code_machine]]="",0,N(Tableau_operations[[#This Row],[h_MO_ha]]))</f>
      </c>
      <c r="M51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51" s="33"/>
      <c r="O51" s="32"/>
      <c r="P51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51" s="41">
        <f>IFERROR(SUM(Tableau_operations[[#This Row],[Cout_MO_ha]],Tableau_operations[[#This Row],[Cout_machine_ha]],Tableau_operations[[#This Row],[Cout_intrant_ha]],Tableau_operations[[#This Row],[Cout_presta_ha]]),0)</f>
      </c>
      <c r="R51" s="41"/>
    </row>
    <row r="52" ht="16.8">
      <c r="A52" s="27" t="s">
        <v>677</v>
      </c>
      <c r="B52" s="28" t="s">
        <v>102</v>
      </c>
      <c r="C52" s="28" t="s">
        <v>102</v>
      </c>
      <c r="D52" s="28">
        <v>11</v>
      </c>
      <c r="E52" s="28" t="s">
        <v>52</v>
      </c>
      <c r="F52" s="28" t="s">
        <v>53</v>
      </c>
      <c r="G52" s="28" t="s">
        <v>626</v>
      </c>
      <c r="H52" s="29" t="s">
        <v>59</v>
      </c>
      <c r="I52" s="31">
        <v>66</v>
      </c>
      <c r="J52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2" s="29"/>
      <c r="L52" s="31">
        <f>IF(Tableau_operations[[#This Row],[Code_machine]]="",0,N(Tableau_operations[[#This Row],[h_MO_ha]]))</f>
      </c>
      <c r="M52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52" s="33"/>
      <c r="O52" s="31"/>
      <c r="P52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52" s="41">
        <f>IFERROR(SUM(Tableau_operations[[#This Row],[Cout_MO_ha]],Tableau_operations[[#This Row],[Cout_machine_ha]],Tableau_operations[[#This Row],[Cout_intrant_ha]],Tableau_operations[[#This Row],[Cout_presta_ha]]),0)</f>
      </c>
      <c r="R52" s="41"/>
    </row>
    <row r="53" ht="16.8">
      <c r="A53" s="27" t="s">
        <v>678</v>
      </c>
      <c r="B53" s="28" t="s">
        <v>103</v>
      </c>
      <c r="C53" s="28" t="s">
        <v>103</v>
      </c>
      <c r="D53" s="28">
        <v>12</v>
      </c>
      <c r="E53" s="28" t="s">
        <v>52</v>
      </c>
      <c r="F53" s="28" t="s">
        <v>53</v>
      </c>
      <c r="G53" s="28"/>
      <c r="H53" s="29" t="s">
        <v>54</v>
      </c>
      <c r="I53" s="31">
        <v>2</v>
      </c>
      <c r="J53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3" s="29" t="s">
        <v>57</v>
      </c>
      <c r="L53" s="31">
        <f>IF(Tableau_operations[[#This Row],[Code_machine]]="",0,N(Tableau_operations[[#This Row],[h_MO_ha]]))</f>
      </c>
      <c r="M53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145.12802129027835</v>
      </c>
      <c r="N53" s="33"/>
      <c r="O53" s="31"/>
      <c r="P53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53" s="41">
        <f>IFERROR(SUM(Tableau_operations[[#This Row],[Cout_MO_ha]],Tableau_operations[[#This Row],[Cout_machine_ha]],Tableau_operations[[#This Row],[Cout_intrant_ha]],Tableau_operations[[#This Row],[Cout_presta_ha]]),0)</f>
      </c>
      <c r="R53" s="41"/>
    </row>
    <row r="54" ht="16.8">
      <c r="A54" s="27" t="s">
        <v>679</v>
      </c>
      <c r="B54" s="28" t="s">
        <v>104</v>
      </c>
      <c r="C54" s="28" t="s">
        <v>104</v>
      </c>
      <c r="D54" s="28">
        <v>12</v>
      </c>
      <c r="E54" s="28" t="s">
        <v>52</v>
      </c>
      <c r="F54" s="28" t="s">
        <v>53</v>
      </c>
      <c r="G54" s="28"/>
      <c r="H54" s="29" t="s">
        <v>54</v>
      </c>
      <c r="I54" s="31">
        <v>2</v>
      </c>
      <c r="J54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4" s="29" t="s">
        <v>57</v>
      </c>
      <c r="L54" s="31">
        <f>IF(Tableau_operations[[#This Row],[Code_machine]]="",0,N(Tableau_operations[[#This Row],[h_MO_ha]]))</f>
      </c>
      <c r="M54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145.12802129027835</v>
      </c>
      <c r="N54" s="33"/>
      <c r="O54" s="31"/>
      <c r="P54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54" s="41">
        <f>IFERROR(SUM(Tableau_operations[[#This Row],[Cout_MO_ha]],Tableau_operations[[#This Row],[Cout_machine_ha]],Tableau_operations[[#This Row],[Cout_intrant_ha]],Tableau_operations[[#This Row],[Cout_presta_ha]]),0)</f>
      </c>
      <c r="R54" s="41"/>
    </row>
    <row r="55" ht="16.8">
      <c r="A55" s="27" t="s">
        <v>680</v>
      </c>
      <c r="B55" s="28" t="s">
        <v>105</v>
      </c>
      <c r="C55" s="28" t="s">
        <v>105</v>
      </c>
      <c r="D55" s="28">
        <v>12</v>
      </c>
      <c r="E55" s="28" t="s">
        <v>52</v>
      </c>
      <c r="F55" s="28" t="s">
        <v>53</v>
      </c>
      <c r="G55" s="28"/>
      <c r="H55" s="29" t="s">
        <v>59</v>
      </c>
      <c r="I55" s="31">
        <v>35</v>
      </c>
      <c r="J55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5" s="29"/>
      <c r="L55" s="31">
        <f>IF(Tableau_operations[[#This Row],[Code_machine]]="",0,N(Tableau_operations[[#This Row],[h_MO_ha]]))</f>
      </c>
      <c r="M55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55" s="33"/>
      <c r="O55" s="31"/>
      <c r="P55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55" s="41">
        <f>IFERROR(SUM(Tableau_operations[[#This Row],[Cout_MO_ha]],Tableau_operations[[#This Row],[Cout_machine_ha]],Tableau_operations[[#This Row],[Cout_intrant_ha]],Tableau_operations[[#This Row],[Cout_presta_ha]]),0)</f>
      </c>
      <c r="R55" s="41"/>
    </row>
    <row r="56" ht="16.8">
      <c r="A56" s="27" t="s">
        <v>681</v>
      </c>
      <c r="B56" s="28" t="s">
        <v>155</v>
      </c>
      <c r="C56" s="28" t="s">
        <v>106</v>
      </c>
      <c r="D56" s="28">
        <v>13</v>
      </c>
      <c r="E56" s="28" t="s">
        <v>52</v>
      </c>
      <c r="F56" s="28" t="s">
        <v>53</v>
      </c>
      <c r="G56" s="28"/>
      <c r="H56" s="29" t="s">
        <v>54</v>
      </c>
      <c r="I56" s="31">
        <v>1</v>
      </c>
      <c r="J56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6" s="29"/>
      <c r="L56" s="31">
        <f>IF(Tableau_operations[[#This Row],[Code_machine]]="",0,N(Tableau_operations[[#This Row],[h_MO_ha]]))</f>
      </c>
      <c r="M56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56" s="33"/>
      <c r="O56" s="31"/>
      <c r="P56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56" s="41">
        <f>IFERROR(SUM(Tableau_operations[[#This Row],[Cout_MO_ha]],Tableau_operations[[#This Row],[Cout_machine_ha]],Tableau_operations[[#This Row],[Cout_intrant_ha]],Tableau_operations[[#This Row],[Cout_presta_ha]]),0)</f>
      </c>
      <c r="R56" s="41"/>
    </row>
    <row r="57" ht="16.8">
      <c r="A57" s="27" t="s">
        <v>682</v>
      </c>
      <c r="B57" s="28" t="s">
        <v>156</v>
      </c>
      <c r="C57" s="28" t="s">
        <v>107</v>
      </c>
      <c r="D57" s="28">
        <v>13</v>
      </c>
      <c r="E57" s="28" t="s">
        <v>52</v>
      </c>
      <c r="F57" s="28" t="s">
        <v>53</v>
      </c>
      <c r="G57" s="28"/>
      <c r="H57" s="29" t="s">
        <v>54</v>
      </c>
      <c r="I57" s="31">
        <v>1</v>
      </c>
      <c r="J57" s="35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7" s="29"/>
      <c r="L57" s="31">
        <f>IF(Tableau_operations[[#This Row],[Code_machine]]="",0,N(Tableau_operations[[#This Row],[h_MO_ha]]))</f>
      </c>
      <c r="M57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57" s="33"/>
      <c r="O57" s="31"/>
      <c r="P57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57" s="41">
        <f>IFERROR(SUM(Tableau_operations[[#This Row],[Cout_MO_ha]],Tableau_operations[[#This Row],[Cout_machine_ha]],Tableau_operations[[#This Row],[Cout_intrant_ha]],Tableau_operations[[#This Row],[Cout_presta_ha]]),0)</f>
      </c>
      <c r="R57" s="41"/>
    </row>
    <row r="58" ht="16.8">
      <c r="A58" s="27" t="s">
        <v>683</v>
      </c>
      <c r="B58" s="28" t="s">
        <v>108</v>
      </c>
      <c r="C58" s="28" t="s">
        <v>109</v>
      </c>
      <c r="D58" s="28">
        <v>14</v>
      </c>
      <c r="E58" s="28" t="s">
        <v>73</v>
      </c>
      <c r="F58" s="28" t="s">
        <v>110</v>
      </c>
      <c r="G58" s="92" t="s">
        <v>228</v>
      </c>
      <c r="H58" s="29" t="s">
        <v>122</v>
      </c>
      <c r="I58" s="31">
        <v>330</v>
      </c>
      <c r="J58" s="36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8" s="29"/>
      <c r="L58" s="31">
        <f>IF(Tableau_operations[[#This Row],[Code_machine]]="",0,N(Tableau_operations[[#This Row],[h_MO_ha]]))</f>
      </c>
      <c r="M58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58" s="33"/>
      <c r="O58" s="32"/>
      <c r="P58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58" s="41">
        <f>IFERROR(SUM(Tableau_operations[[#This Row],[Cout_MO_ha]],Tableau_operations[[#This Row],[Cout_machine_ha]],Tableau_operations[[#This Row],[Cout_intrant_ha]],Tableau_operations[[#This Row],[Cout_presta_ha]]),0)</f>
      </c>
      <c r="R58" s="41"/>
    </row>
    <row r="59" ht="16.8">
      <c r="A59" s="27" t="s">
        <v>684</v>
      </c>
      <c r="B59" s="28" t="s">
        <v>108</v>
      </c>
      <c r="C59" s="28" t="s">
        <v>111</v>
      </c>
      <c r="D59" s="28">
        <v>14</v>
      </c>
      <c r="E59" s="28" t="s">
        <v>73</v>
      </c>
      <c r="F59" s="28" t="s">
        <v>53</v>
      </c>
      <c r="G59" s="28"/>
      <c r="H59" s="29" t="s">
        <v>54</v>
      </c>
      <c r="I59" s="31">
        <v>4</v>
      </c>
      <c r="J59" s="36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59" s="29" t="s">
        <v>57</v>
      </c>
      <c r="L59" s="31">
        <f>IF(Tableau_operations[[#This Row],[Code_machine]]="",0,N(Tableau_operations[[#This Row],[h_MO_ha]]))</f>
      </c>
      <c r="M59" s="4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290.25604258055671</v>
      </c>
      <c r="N59" s="33"/>
      <c r="O59" s="32"/>
      <c r="P59" s="39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59" s="41">
        <f>IFERROR(SUM(Tableau_operations[[#This Row],[Cout_MO_ha]],Tableau_operations[[#This Row],[Cout_machine_ha]],Tableau_operations[[#This Row],[Cout_intrant_ha]],Tableau_operations[[#This Row],[Cout_presta_ha]]),0)</f>
      </c>
      <c r="R59" s="41"/>
    </row>
    <row r="60" ht="16.8">
      <c r="A60" s="95" t="s">
        <v>685</v>
      </c>
      <c r="B60" s="96" t="s">
        <v>232</v>
      </c>
      <c r="C60" s="96" t="s">
        <v>231</v>
      </c>
      <c r="D60" s="96">
        <v>15</v>
      </c>
      <c r="E60" s="95" t="s">
        <v>73</v>
      </c>
      <c r="F60" s="96" t="s">
        <v>53</v>
      </c>
      <c r="G60" s="96"/>
      <c r="H60" s="29" t="s">
        <v>59</v>
      </c>
      <c r="I60" s="98">
        <v>6</v>
      </c>
      <c r="J60" s="99">
        <f>IF(OR(Tableau_operations[[#This Row],[Code_MO_principal]]="",Tableau_operations[[#This Row],[h_MO_ha]]=""),0,Tableau_operations[[#This Row],[h_MO_ha]]*N(_xlfn.XLOOKUP(Tableau_operations[[#This Row],[Code_MO_principal]],Tableau_MO[Code_MO],Tableau_MO[Coût_total_€/h],0)))</f>
      </c>
      <c r="K60" s="97"/>
      <c r="L60" s="98">
        <f>IF(Tableau_operations[[#This Row],[Code_machine]]="",0,N(Tableau_operations[[#This Row],[h_MO_ha]]))</f>
      </c>
      <c r="M60" s="100">
        <f>IF(OR(Tableau_operations[[#This Row],[Code_machine]]="",Tableau_operations[[#This Row],[h_machine_ha]]=""),0,Tableau_operations[[#This Row],[h_machine_ha]]*_xlfn.XLOOKUP(Tableau_operations[[#This Row],[Code_machine]],Tableau_mecanisation[Code_machine],Tableau_mecanisation[Coût_h_€/h],0,0))</f>
        <v>0</v>
      </c>
      <c r="N60" s="97"/>
      <c r="O60" s="101"/>
      <c r="P60" s="102" t="str">
        <f>IF(Tableau_operations[[#This Row],[Code_intrant]]="","",IFERROR(Tableau_operations[[#This Row],[Q_intrant_ha]]*IFERROR(_xlfn.XLOOKUP(Tableau_operations[[#This Row],[Code_intrant]],Tableau_intrants[Code_intrant],Tableau_intrants[Prix]),_xlfn.XLOOKUP(Tableau_operations[[#This Row],[Code_intrant]],Tableau_intrants[Composition],Tableau_intrants[Prix],0)),0))</f>
        <v/>
      </c>
      <c r="Q60" s="103">
        <f>IFERROR(SUM(Tableau_operations[[#This Row],[Cout_MO_ha]],Tableau_operations[[#This Row],[Cout_machine_ha]],Tableau_operations[[#This Row],[Cout_intrant_ha]],Tableau_operations[[#This Row],[Cout_presta_ha]]),0)</f>
      </c>
      <c r="R60" s="103"/>
    </row>
  </sheetData>
  <conditionalFormatting sqref="C3:C60">
    <cfRule type="expression" dxfId="56" priority="3">
      <formula>$Q3=0</formula>
    </cfRule>
  </conditionalFormatting>
  <conditionalFormatting sqref="A3:A60">
    <cfRule type="duplicateValues" dxfId="55" priority="4"/>
  </conditionalFormatting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BAREMES_MO!$A$3:$A$12</xm:f>
          </x14:formula1>
          <xm:sqref>H3:H60</xm:sqref>
        </x14:dataValidation>
        <x14:dataValidation type="list" allowBlank="1" showInputMessage="1" showErrorMessage="1">
          <x14:formula1>
            <xm:f>BAREMES_MECANIQUE!$A$3:$A$9</xm:f>
          </x14:formula1>
          <xm:sqref>K3:K60</xm:sqref>
        </x14:dataValidation>
        <x14:dataValidation type="list" allowBlank="1" showInputMessage="1" showErrorMessage="1">
          <x14:formula1>
            <xm:f>BAREMES_INTRANTS!$C$3:$C$148</xm:f>
          </x14:formula1>
          <xm:sqref>N3:N60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AD810-7312-49A0-B985-D8D279A4437A}">
  <sheetPr codeName="Feuil5">
    <tabColor theme="7"/>
  </sheetPr>
  <dimension ref="A1:G12"/>
  <sheetViews>
    <sheetView workbookViewId="0">
      <selection activeCell="D21" sqref="D21"/>
    </sheetView>
  </sheetViews>
  <sheetFormatPr baseColWidth="10" defaultColWidth="11.44140625" defaultRowHeight="14.4"/>
  <cols>
    <col min="1" max="1" width="14.88671875" bestFit="1" customWidth="1"/>
    <col min="2" max="2" width="16.88671875" customWidth="1"/>
    <col min="3" max="4" width="21.109375" customWidth="1"/>
    <col min="5" max="5" width="15.6640625" customWidth="1"/>
    <col min="6" max="6" width="18.33203125" customWidth="1"/>
    <col min="7" max="7" width="34.109375" customWidth="1"/>
  </cols>
  <sheetData>
    <row r="1" spans="1:7" s="88" customFormat="1" ht="64.95" customHeight="1"/>
    <row r="2" spans="1:7" ht="22.2" customHeight="1" thickBot="1">
      <c r="A2" s="16" t="s">
        <v>112</v>
      </c>
      <c r="B2" s="13" t="s">
        <v>113</v>
      </c>
      <c r="C2" s="13" t="s">
        <v>114</v>
      </c>
      <c r="D2" s="13" t="s">
        <v>10</v>
      </c>
      <c r="E2" s="13" t="s">
        <v>115</v>
      </c>
      <c r="F2" s="13" t="s">
        <v>116</v>
      </c>
      <c r="G2" s="17" t="s">
        <v>117</v>
      </c>
    </row>
    <row r="3" spans="1:7" ht="17.399999999999999" thickBot="1">
      <c r="A3" s="14" t="s">
        <v>59</v>
      </c>
      <c r="B3" s="3" t="s">
        <v>118</v>
      </c>
      <c r="C3" s="3">
        <v>13.5</v>
      </c>
      <c r="D3" s="93"/>
      <c r="E3" s="5">
        <v>0.5</v>
      </c>
      <c r="F3" s="3">
        <f>IF(Tableau_MO[[#This Row],[Salaire_brut_€/h]]="","",Tableau_MO[[#This Row],[Salaire_brut_€/h]]*(1+IF(ISNUMBER(Tableau_MO[[#This Row],[Charges_%]]),Tableau_MO[[#This Row],[Charges_%]],0)))</f>
        <v>20.25</v>
      </c>
      <c r="G3" s="15" t="s">
        <v>119</v>
      </c>
    </row>
    <row r="4" spans="1:7" ht="17.399999999999999" thickBot="1">
      <c r="A4" s="14" t="s">
        <v>54</v>
      </c>
      <c r="B4" s="3" t="s">
        <v>120</v>
      </c>
      <c r="C4" s="3">
        <v>20</v>
      </c>
      <c r="D4" s="93"/>
      <c r="E4" s="5">
        <v>0.5</v>
      </c>
      <c r="F4" s="3">
        <f>IF(Tableau_MO[[#This Row],[Salaire_brut_€/h]]="","",Tableau_MO[[#This Row],[Salaire_brut_€/h]]*(1+IF(ISNUMBER(Tableau_MO[[#This Row],[Charges_%]]),Tableau_MO[[#This Row],[Charges_%]],0)))</f>
        <v>30</v>
      </c>
      <c r="G4" s="15" t="s">
        <v>121</v>
      </c>
    </row>
    <row r="5" spans="1:7" ht="34.200000000000003" thickBot="1">
      <c r="A5" s="14" t="s">
        <v>122</v>
      </c>
      <c r="B5" s="3" t="s">
        <v>123</v>
      </c>
      <c r="C5" s="3">
        <v>12.6</v>
      </c>
      <c r="D5" s="93"/>
      <c r="E5" s="5">
        <v>0.2</v>
      </c>
      <c r="F5" s="3">
        <f>IF(Tableau_MO[[#This Row],[Salaire_brut_€/h]]="","",Tableau_MO[[#This Row],[Salaire_brut_€/h]]*(1+IF(ISNUMBER(Tableau_MO[[#This Row],[Charges_%]]),Tableau_MO[[#This Row],[Charges_%]],0)))</f>
        <v>15.12</v>
      </c>
      <c r="G5" s="15" t="s">
        <v>124</v>
      </c>
    </row>
    <row r="6" spans="1:7" ht="17.399999999999999" thickBot="1">
      <c r="A6" s="18" t="s">
        <v>125</v>
      </c>
      <c r="B6" s="19" t="s">
        <v>126</v>
      </c>
      <c r="C6" s="19">
        <v>16</v>
      </c>
      <c r="D6" s="94"/>
      <c r="E6" s="20">
        <v>0.5</v>
      </c>
      <c r="F6" s="3">
        <f>IF(Tableau_MO[[#This Row],[Salaire_brut_€/h]]="","",Tableau_MO[[#This Row],[Salaire_brut_€/h]]*(1+IF(ISNUMBER(Tableau_MO[[#This Row],[Charges_%]]),Tableau_MO[[#This Row],[Charges_%]],0)))</f>
        <v>24</v>
      </c>
      <c r="G6" s="21" t="s">
        <v>127</v>
      </c>
    </row>
    <row r="7" spans="1:7" ht="34.200000000000003" thickBot="1">
      <c r="A7" s="18" t="s">
        <v>142</v>
      </c>
      <c r="B7" s="19" t="s">
        <v>141</v>
      </c>
      <c r="C7" s="19">
        <v>35</v>
      </c>
      <c r="D7" s="94"/>
      <c r="E7" s="37" t="s">
        <v>73</v>
      </c>
      <c r="F7" s="3">
        <f>IF(Tableau_MO[[#This Row],[Salaire_brut_€/h]]="","",Tableau_MO[[#This Row],[Salaire_brut_€/h]]*(1+IF(ISNUMBER(Tableau_MO[[#This Row],[Charges_%]]),Tableau_MO[[#This Row],[Charges_%]],0)))</f>
        <v>35</v>
      </c>
      <c r="G7" s="21" t="s">
        <v>603</v>
      </c>
    </row>
    <row r="8" spans="1:7" ht="17.399999999999999" thickBot="1">
      <c r="A8" s="18" t="s">
        <v>144</v>
      </c>
      <c r="B8" s="19" t="s">
        <v>143</v>
      </c>
      <c r="C8" s="3">
        <v>150</v>
      </c>
      <c r="D8" s="94"/>
      <c r="E8" s="37" t="s">
        <v>73</v>
      </c>
      <c r="F8" s="3">
        <f>IF(Tableau_MO[[#This Row],[Salaire_brut_€/h]]="","",Tableau_MO[[#This Row],[Salaire_brut_€/h]]*(1+IF(ISNUMBER(Tableau_MO[[#This Row],[Charges_%]]),Tableau_MO[[#This Row],[Charges_%]],0)))</f>
        <v>150</v>
      </c>
      <c r="G8" s="15" t="s">
        <v>603</v>
      </c>
    </row>
    <row r="9" spans="1:7" ht="34.200000000000003" thickBot="1">
      <c r="A9" s="18" t="s">
        <v>148</v>
      </c>
      <c r="B9" s="19" t="s">
        <v>145</v>
      </c>
      <c r="C9" s="3">
        <v>45</v>
      </c>
      <c r="D9" s="94"/>
      <c r="E9" s="37" t="s">
        <v>73</v>
      </c>
      <c r="F9" s="3">
        <f>IF(Tableau_MO[[#This Row],[Salaire_brut_€/h]]="","",Tableau_MO[[#This Row],[Salaire_brut_€/h]]*(1+IF(ISNUMBER(Tableau_MO[[#This Row],[Charges_%]]),Tableau_MO[[#This Row],[Charges_%]],0)))</f>
        <v>45</v>
      </c>
      <c r="G9" s="15" t="s">
        <v>604</v>
      </c>
    </row>
    <row r="10" spans="1:7" ht="34.200000000000003" thickBot="1">
      <c r="A10" s="18" t="s">
        <v>150</v>
      </c>
      <c r="B10" s="19" t="s">
        <v>147</v>
      </c>
      <c r="C10" s="136">
        <v>40</v>
      </c>
      <c r="D10" s="135"/>
      <c r="E10" s="37" t="s">
        <v>73</v>
      </c>
      <c r="F10" s="3">
        <f>IF(Tableau_MO[[#This Row],[Salaire_brut_€/h]]="","",Tableau_MO[[#This Row],[Salaire_brut_€/h]]*(1+IF(ISNUMBER(Tableau_MO[[#This Row],[Charges_%]]),Tableau_MO[[#This Row],[Charges_%]],0)))</f>
        <v>40</v>
      </c>
      <c r="G10" s="15" t="s">
        <v>605</v>
      </c>
    </row>
    <row r="11" spans="1:7" ht="34.200000000000003" thickBot="1">
      <c r="A11" s="18" t="s">
        <v>149</v>
      </c>
      <c r="B11" s="19" t="s">
        <v>146</v>
      </c>
      <c r="C11" s="3"/>
      <c r="D11" s="94">
        <v>0.53</v>
      </c>
      <c r="E11" s="37" t="s">
        <v>73</v>
      </c>
      <c r="F11" s="3" t="str">
        <f>IF(Tableau_MO[[#This Row],[Salaire_brut_€/h]]="","",Tableau_MO[[#This Row],[Salaire_brut_€/h]]*(1+IF(ISNUMBER(Tableau_MO[[#This Row],[Charges_%]]),Tableau_MO[[#This Row],[Charges_%]],0)))</f>
        <v/>
      </c>
      <c r="G11" s="15" t="s">
        <v>606</v>
      </c>
    </row>
    <row r="12" spans="1:7" ht="33.6">
      <c r="A12" s="18" t="s">
        <v>602</v>
      </c>
      <c r="B12" s="19" t="s">
        <v>509</v>
      </c>
      <c r="C12" s="19">
        <v>34.6</v>
      </c>
      <c r="D12" s="94"/>
      <c r="E12" s="20"/>
      <c r="F12" s="19">
        <f>IF(Tableau_MO[[#This Row],[Salaire_brut_€/h]]="","",Tableau_MO[[#This Row],[Salaire_brut_€/h]]*(1+IF(ISNUMBER(Tableau_MO[[#This Row],[Charges_%]]),Tableau_MO[[#This Row],[Charges_%]],0)))</f>
        <v>34.6</v>
      </c>
      <c r="G12" s="21" t="s">
        <v>607</v>
      </c>
    </row>
  </sheetData>
  <conditionalFormatting sqref="F3:F12">
    <cfRule type="expression" dxfId="33" priority="1">
      <formula>OR($F3="",$F3=0)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3CD24-110E-4E7B-8509-BD3CC2BF91C5}">
  <sheetPr codeName="Feuil6">
    <tabColor theme="7"/>
  </sheetPr>
  <dimension ref="A1:M9"/>
  <sheetViews>
    <sheetView zoomScale="90" zoomScaleNormal="90" workbookViewId="0">
      <selection activeCell="E19" sqref="E19"/>
    </sheetView>
  </sheetViews>
  <sheetFormatPr baseColWidth="10" defaultColWidth="11.44140625" defaultRowHeight="14.4"/>
  <cols>
    <col min="1" max="1" width="26.88671875" bestFit="1" customWidth="1"/>
    <col min="2" max="2" width="29.6640625" bestFit="1" customWidth="1"/>
    <col min="3" max="3" width="26.77734375" bestFit="1" customWidth="1"/>
    <col min="4" max="4" width="16.109375" customWidth="1"/>
    <col min="5" max="5" width="22" customWidth="1"/>
    <col min="6" max="6" width="22.6640625" customWidth="1"/>
    <col min="7" max="7" width="23.21875" bestFit="1" customWidth="1"/>
    <col min="8" max="8" width="19.44140625" customWidth="1"/>
    <col min="9" max="9" width="30.44140625" customWidth="1"/>
    <col min="10" max="10" width="16.109375" customWidth="1"/>
    <col min="11" max="11" width="17.5546875" customWidth="1"/>
    <col min="12" max="12" width="31.6640625" bestFit="1" customWidth="1"/>
    <col min="13" max="13" width="22.109375" bestFit="1" customWidth="1"/>
  </cols>
  <sheetData>
    <row r="1" spans="1:13" s="88" customFormat="1" ht="64.95" customHeight="1"/>
    <row r="2" spans="1:13" ht="34.200000000000003" thickBot="1">
      <c r="A2" s="16" t="s">
        <v>45</v>
      </c>
      <c r="B2" s="13" t="s">
        <v>128</v>
      </c>
      <c r="C2" s="13" t="s">
        <v>129</v>
      </c>
      <c r="D2" s="13" t="s">
        <v>130</v>
      </c>
      <c r="E2" s="13" t="s">
        <v>131</v>
      </c>
      <c r="F2" s="13" t="s">
        <v>132</v>
      </c>
      <c r="G2" s="13" t="s">
        <v>133</v>
      </c>
      <c r="H2" s="13" t="s">
        <v>134</v>
      </c>
      <c r="I2" s="13" t="s">
        <v>135</v>
      </c>
      <c r="J2" s="17" t="s">
        <v>608</v>
      </c>
      <c r="K2" s="17" t="s">
        <v>609</v>
      </c>
      <c r="L2" s="17" t="s">
        <v>610</v>
      </c>
      <c r="M2" s="17" t="s">
        <v>136</v>
      </c>
    </row>
    <row r="3" ht="67.8" thickBot="1">
      <c r="A3" s="14" t="s">
        <v>57</v>
      </c>
      <c r="B3" s="3" t="s">
        <v>137</v>
      </c>
      <c r="C3" s="93">
        <v>210000</v>
      </c>
      <c r="D3" s="3">
        <v>10</v>
      </c>
      <c r="E3" s="3">
        <v>600</v>
      </c>
      <c r="F3" s="4">
        <v>6000</v>
      </c>
      <c r="G3" s="3">
        <v>11</v>
      </c>
      <c r="H3" s="3">
        <f>AOC!$B$16</f>
      </c>
      <c r="I3" s="4">
        <v>2000</v>
      </c>
      <c r="J3" s="155">
        <v>110</v>
      </c>
      <c r="K3" s="157">
        <v>3000</v>
      </c>
      <c r="L3" s="152" t="s">
        <v>611</v>
      </c>
      <c r="M3" s="159">
        <f>IFERROR((-PMT(AOC!$B$15,Tableau_mecanisation[[#This Row],[Durée_amortissement_ans]],Tableau_mecanisation[[#This Row],[Valeur_achat_€]])+Tableau_mecanisation[[#This Row],[Entretien_annuel_€]]+Tableau_mecanisation[[#This Row],[Autres_frais_annuels_€]]+Tableau_mecanisation[[#This Row],[Assurance_remisage_€]])/Tableau_mecanisation[[#This Row],[Heures_annuelles_tot]]+(Tableau_mecanisation[[#This Row],[Carburant_l/h]]*Tableau_mecanisation[[#This Row],[Prix_GNR_€/l]]),0)</f>
        <v>72.564010645139177</v>
      </c>
    </row>
    <row r="4" ht="34.200000000000003" thickBot="1">
      <c r="A4" s="14" t="s">
        <v>138</v>
      </c>
      <c r="B4" s="3" t="s">
        <v>225</v>
      </c>
      <c r="C4" s="93">
        <v>60000</v>
      </c>
      <c r="D4" s="3">
        <v>10</v>
      </c>
      <c r="E4" s="3">
        <v>400</v>
      </c>
      <c r="F4" s="4">
        <v>3000</v>
      </c>
      <c r="G4" s="3">
        <v>5</v>
      </c>
      <c r="H4" s="3">
        <f>AOC!$B$16</f>
      </c>
      <c r="I4" s="4">
        <v>1000</v>
      </c>
      <c r="J4" s="155">
        <v>80</v>
      </c>
      <c r="K4" s="157">
        <v>1200</v>
      </c>
      <c r="L4" s="152" t="s">
        <v>612</v>
      </c>
      <c r="M4" s="159">
        <f>IFERROR((-PMT(AOC!$B$15,Tableau_mecanisation[[#This Row],[Durée_amortissement_ans]],Tableau_mecanisation[[#This Row],[Valeur_achat_€]])+Tableau_mecanisation[[#This Row],[Entretien_annuel_€]]+Tableau_mecanisation[[#This Row],[Autres_frais_annuels_€]]+Tableau_mecanisation[[#This Row],[Assurance_remisage_€]])/Tableau_mecanisation[[#This Row],[Heures_annuelles_tot]]+(Tableau_mecanisation[[#This Row],[Carburant_l/h]]*Tableau_mecanisation[[#This Row],[Prix_GNR_€/l]]),0)</f>
        <v>36.584575990773942</v>
      </c>
    </row>
    <row r="5" ht="51" thickBot="1">
      <c r="A5" s="18" t="s">
        <v>139</v>
      </c>
      <c r="B5" s="19" t="s">
        <v>154</v>
      </c>
      <c r="C5" s="94">
        <v>220000</v>
      </c>
      <c r="D5" s="19">
        <v>7</v>
      </c>
      <c r="E5" s="22">
        <v>1000</v>
      </c>
      <c r="F5" s="22">
        <v>8000</v>
      </c>
      <c r="G5" s="19">
        <v>0</v>
      </c>
      <c r="H5" s="19">
        <f>AOC!$B$16</f>
      </c>
      <c r="I5" s="22">
        <v>5000</v>
      </c>
      <c r="J5" s="156">
        <v>0</v>
      </c>
      <c r="K5" s="158">
        <v>2500</v>
      </c>
      <c r="L5" s="153" t="s">
        <v>613</v>
      </c>
      <c r="M5" s="159">
        <f>IFERROR((-PMT(AOC!$B$15,Tableau_mecanisation[[#This Row],[Durée_amortissement_ans]],Tableau_mecanisation[[#This Row],[Valeur_achat_€]])+Tableau_mecanisation[[#This Row],[Entretien_annuel_€]]+Tableau_mecanisation[[#This Row],[Autres_frais_annuels_€]]+Tableau_mecanisation[[#This Row],[Assurance_remisage_€]])/Tableau_mecanisation[[#This Row],[Heures_annuelles_tot]]+(Tableau_mecanisation[[#This Row],[Carburant_l/h]]*Tableau_mecanisation[[#This Row],[Prix_GNR_€/l]]),0)</f>
        <v>50.811397825939828</v>
      </c>
    </row>
    <row r="6" ht="34.200000000000003" thickBot="1">
      <c r="A6" s="14" t="s">
        <v>614</v>
      </c>
      <c r="B6" s="3" t="s">
        <v>615</v>
      </c>
      <c r="C6" s="93">
        <v>55000</v>
      </c>
      <c r="D6" s="3">
        <v>10</v>
      </c>
      <c r="E6" s="154">
        <v>500</v>
      </c>
      <c r="F6" s="4">
        <v>2500</v>
      </c>
      <c r="G6" s="3">
        <v>5.5</v>
      </c>
      <c r="H6" s="3">
        <f>AOC!$B$16</f>
      </c>
      <c r="I6" s="4">
        <v>800</v>
      </c>
      <c r="J6" s="155">
        <v>90</v>
      </c>
      <c r="K6" s="157">
        <v>1500</v>
      </c>
      <c r="L6" s="152" t="s">
        <v>616</v>
      </c>
      <c r="M6" s="159">
        <f>IFERROR((-PMT(AOC!$B$15,Tableau_mecanisation[[#This Row],[Durée_amortissement_ans]],Tableau_mecanisation[[#This Row],[Valeur_achat_€]])+Tableau_mecanisation[[#This Row],[Entretien_annuel_€]]+Tableau_mecanisation[[#This Row],[Autres_frais_annuels_€]]+Tableau_mecanisation[[#This Row],[Assurance_remisage_€]])/Tableau_mecanisation[[#This Row],[Heures_annuelles_tot]]+(Tableau_mecanisation[[#This Row],[Carburant_l/h]]*Tableau_mecanisation[[#This Row],[Prix_GNR_€/l]]),0)</f>
        <v>29.095355726567554</v>
      </c>
    </row>
    <row r="7" ht="34.200000000000003" thickBot="1">
      <c r="A7" s="14" t="s">
        <v>617</v>
      </c>
      <c r="B7" s="3" t="s">
        <v>618</v>
      </c>
      <c r="C7" s="93">
        <v>8000</v>
      </c>
      <c r="D7" s="3">
        <v>8</v>
      </c>
      <c r="E7" s="154">
        <v>300</v>
      </c>
      <c r="F7" s="4">
        <v>600</v>
      </c>
      <c r="G7" s="3">
        <v>0</v>
      </c>
      <c r="H7" s="3">
        <f>AOC!$B$16</f>
      </c>
      <c r="I7" s="4">
        <v>200</v>
      </c>
      <c r="J7" s="155">
        <v>0</v>
      </c>
      <c r="K7" s="157">
        <v>300</v>
      </c>
      <c r="L7" s="152" t="s">
        <v>619</v>
      </c>
      <c r="M7" s="159">
        <f>IFERROR((-PMT(AOC!$B$15,Tableau_mecanisation[[#This Row],[Durée_amortissement_ans]],Tableau_mecanisation[[#This Row],[Valeur_achat_€]])+Tableau_mecanisation[[#This Row],[Entretien_annuel_€]]+Tableau_mecanisation[[#This Row],[Autres_frais_annuels_€]]+Tableau_mecanisation[[#This Row],[Assurance_remisage_€]])/Tableau_mecanisation[[#This Row],[Heures_annuelles_tot]]+(Tableau_mecanisation[[#This Row],[Carburant_l/h]]*Tableau_mecanisation[[#This Row],[Prix_GNR_€/l]]),0)</f>
        <v>7.4655037020597108</v>
      </c>
    </row>
    <row r="8" ht="34.200000000000003" thickBot="1">
      <c r="A8" s="14" t="s">
        <v>620</v>
      </c>
      <c r="B8" s="3" t="s">
        <v>621</v>
      </c>
      <c r="C8" s="93">
        <v>7500</v>
      </c>
      <c r="D8" s="3">
        <v>8</v>
      </c>
      <c r="E8" s="154">
        <v>250</v>
      </c>
      <c r="F8" s="4">
        <v>500</v>
      </c>
      <c r="G8" s="3">
        <v>0</v>
      </c>
      <c r="H8" s="3">
        <f>AOC!$B$16</f>
      </c>
      <c r="I8" s="4">
        <v>150</v>
      </c>
      <c r="J8" s="155">
        <v>0</v>
      </c>
      <c r="K8" s="157">
        <v>250</v>
      </c>
      <c r="L8" s="152" t="s">
        <v>622</v>
      </c>
      <c r="M8" s="159">
        <f>IFERROR((-PMT(AOC!$B$15,Tableau_mecanisation[[#This Row],[Durée_amortissement_ans]],Tableau_mecanisation[[#This Row],[Valeur_achat_€]])+Tableau_mecanisation[[#This Row],[Entretien_annuel_€]]+Tableau_mecanisation[[#This Row],[Autres_frais_annuels_€]]+Tableau_mecanisation[[#This Row],[Assurance_remisage_€]])/Tableau_mecanisation[[#This Row],[Heures_annuelles_tot]]+(Tableau_mecanisation[[#This Row],[Carburant_l/h]]*Tableau_mecanisation[[#This Row],[Prix_GNR_€/l]]),0)</f>
        <v>7.8736916648171755</v>
      </c>
    </row>
    <row r="9" ht="33.6">
      <c r="A9" s="18" t="s">
        <v>623</v>
      </c>
      <c r="B9" s="19" t="s">
        <v>624</v>
      </c>
      <c r="C9" s="94">
        <v>6500</v>
      </c>
      <c r="D9" s="19">
        <v>8</v>
      </c>
      <c r="E9" s="154">
        <v>200</v>
      </c>
      <c r="F9" s="22">
        <v>450</v>
      </c>
      <c r="G9" s="19">
        <v>0</v>
      </c>
      <c r="H9" s="19">
        <f>AOC!$B$16</f>
      </c>
      <c r="I9" s="22">
        <v>150</v>
      </c>
      <c r="J9" s="156">
        <v>0</v>
      </c>
      <c r="K9" s="158">
        <v>200</v>
      </c>
      <c r="L9" s="153" t="s">
        <v>625</v>
      </c>
      <c r="M9" s="160">
        <f>IFERROR((-PMT(AOC!$B$15,Tableau_mecanisation[[#This Row],[Durée_amortissement_ans]],Tableau_mecanisation[[#This Row],[Valeur_achat_€]])+Tableau_mecanisation[[#This Row],[Entretien_annuel_€]]+Tableau_mecanisation[[#This Row],[Autres_frais_annuels_€]]+Tableau_mecanisation[[#This Row],[Assurance_remisage_€]])/Tableau_mecanisation[[#This Row],[Heures_annuelles_tot]]+(Tableau_mecanisation[[#This Row],[Carburant_l/h]]*Tableau_mecanisation[[#This Row],[Prix_GNR_€/l]]),0)</f>
        <v>8.6298326368852738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9AC59-DDC0-4BC6-B4B4-5CC4E5010B0F}">
  <sheetPr codeName="Feuil7">
    <tabColor theme="7"/>
  </sheetPr>
  <dimension ref="A1:I148"/>
  <sheetViews>
    <sheetView topLeftCell="A26" workbookViewId="0">
      <selection activeCell="C22" sqref="C22"/>
    </sheetView>
  </sheetViews>
  <sheetFormatPr baseColWidth="10" defaultColWidth="11.44140625" defaultRowHeight="14.4"/>
  <cols>
    <col min="1" max="1" width="17.88671875" customWidth="1"/>
    <col min="2" max="2" width="22.21875" bestFit="1" customWidth="1"/>
    <col min="3" max="4" width="24.44140625" customWidth="1"/>
    <col min="5" max="5" width="19.88671875" customWidth="1"/>
    <col min="6" max="6" width="10.33203125" bestFit="1" customWidth="1"/>
  </cols>
  <sheetData>
    <row r="1" spans="1:9" s="88" customFormat="1" ht="64.95" customHeight="1"/>
    <row r="2" spans="1:9" ht="22.2" customHeight="1" thickBot="1">
      <c r="A2" s="13" t="s">
        <v>48</v>
      </c>
      <c r="B2" s="13" t="s">
        <v>284</v>
      </c>
      <c r="C2" s="13" t="s">
        <v>453</v>
      </c>
      <c r="D2" s="13" t="s">
        <v>285</v>
      </c>
      <c r="E2" s="13" t="s">
        <v>454</v>
      </c>
      <c r="F2" s="13" t="s">
        <v>455</v>
      </c>
    </row>
    <row r="3" spans="1:9">
      <c r="A3" t="str">
        <f t="shared" ref="A3:A34" si="0">_xlfn.CONCAT(UPPER(LEFT(B3,4)),"_",UPPER(LEFT(C3,4)))</f>
        <v>HERB_GLYP</v>
      </c>
      <c r="B3" t="s">
        <v>299</v>
      </c>
      <c r="C3" t="s">
        <v>140</v>
      </c>
      <c r="E3" s="38">
        <f>6/2.5</f>
        <v>2.4</v>
      </c>
      <c r="F3" s="130" t="s">
        <v>456</v>
      </c>
    </row>
    <row r="4" spans="1:9">
      <c r="A4" t="str">
        <f t="shared" si="0"/>
        <v>ENGR_ENGR</v>
      </c>
      <c r="B4" t="s">
        <v>464</v>
      </c>
      <c r="C4" t="s">
        <v>226</v>
      </c>
      <c r="E4" s="133">
        <v>450</v>
      </c>
      <c r="F4" s="130" t="s">
        <v>457</v>
      </c>
    </row>
    <row r="5" spans="1:9">
      <c r="A5" t="str">
        <f t="shared" si="0"/>
        <v>PLAN_PLAN</v>
      </c>
      <c r="B5" t="s">
        <v>224</v>
      </c>
      <c r="C5" t="s">
        <v>224</v>
      </c>
      <c r="E5" s="38">
        <v>2</v>
      </c>
      <c r="F5" s="130" t="s">
        <v>455</v>
      </c>
    </row>
    <row r="6" spans="1:9">
      <c r="A6" t="str">
        <f t="shared" si="0"/>
        <v>CHÉL_CHÉL</v>
      </c>
      <c r="B6" t="s">
        <v>498</v>
      </c>
      <c r="C6" t="s">
        <v>227</v>
      </c>
      <c r="E6" s="133">
        <v>15</v>
      </c>
      <c r="F6" s="130" t="s">
        <v>458</v>
      </c>
    </row>
    <row r="7" spans="1:9">
      <c r="A7" t="str">
        <f t="shared" si="0"/>
        <v>INSE_RAK</v>
      </c>
      <c r="B7" t="s">
        <v>428</v>
      </c>
      <c r="C7" t="s">
        <v>229</v>
      </c>
      <c r="E7" s="38">
        <v>0.1</v>
      </c>
      <c r="F7" s="130" t="s">
        <v>455</v>
      </c>
    </row>
    <row r="8" spans="1:9" ht="15">
      <c r="A8" t="str">
        <f t="shared" si="0"/>
        <v>HERB_PENO</v>
      </c>
      <c r="B8" t="s">
        <v>286</v>
      </c>
      <c r="C8" t="s">
        <v>287</v>
      </c>
      <c r="D8" t="s">
        <v>288</v>
      </c>
      <c r="E8" s="131" t="s">
        <v>459</v>
      </c>
      <c r="F8" s="132" t="s">
        <v>459</v>
      </c>
      <c r="G8" s="128"/>
    </row>
    <row r="9" spans="1:9">
      <c r="A9" t="str">
        <f t="shared" si="0"/>
        <v>HERB_FLUM</v>
      </c>
      <c r="B9" t="s">
        <v>286</v>
      </c>
      <c r="C9" t="s">
        <v>289</v>
      </c>
      <c r="D9" t="s">
        <v>290</v>
      </c>
      <c r="E9" s="131">
        <v>195.82</v>
      </c>
      <c r="F9" s="132" t="s">
        <v>458</v>
      </c>
      <c r="G9" s="129"/>
      <c r="I9">
        <v>4.5</v>
      </c>
    </row>
    <row r="10" spans="1:9">
      <c r="A10" t="str">
        <f t="shared" si="0"/>
        <v>HERB_NAPR</v>
      </c>
      <c r="B10" t="s">
        <v>286</v>
      </c>
      <c r="C10" t="s">
        <v>291</v>
      </c>
      <c r="D10" t="s">
        <v>292</v>
      </c>
      <c r="E10" s="131" t="s">
        <v>459</v>
      </c>
      <c r="F10" s="132" t="s">
        <v>459</v>
      </c>
      <c r="G10" s="2"/>
      <c r="I10">
        <v>11.8</v>
      </c>
    </row>
    <row r="11" spans="1:9">
      <c r="A11" t="str">
        <f t="shared" si="0"/>
        <v>HERB_PROP</v>
      </c>
      <c r="B11" t="s">
        <v>286</v>
      </c>
      <c r="C11" t="s">
        <v>293</v>
      </c>
      <c r="D11" t="s">
        <v>294</v>
      </c>
      <c r="E11" s="131">
        <v>32.979999999999997</v>
      </c>
      <c r="F11" s="132" t="s">
        <v>458</v>
      </c>
      <c r="G11" s="2"/>
      <c r="I11">
        <f>I9/I10</f>
        <v>0.38135593220338981</v>
      </c>
    </row>
    <row r="12" spans="1:9">
      <c r="A12" t="str">
        <f t="shared" si="0"/>
        <v>HERB_FLAZ</v>
      </c>
      <c r="B12" t="s">
        <v>286</v>
      </c>
      <c r="C12" t="s">
        <v>295</v>
      </c>
      <c r="D12" t="s">
        <v>296</v>
      </c>
      <c r="E12" s="131">
        <v>133.24</v>
      </c>
      <c r="F12" s="132" t="s">
        <v>516</v>
      </c>
      <c r="G12" s="2"/>
    </row>
    <row r="13" spans="1:9">
      <c r="A13" t="str">
        <f t="shared" si="0"/>
        <v>HERB_PEND</v>
      </c>
      <c r="B13" t="s">
        <v>286</v>
      </c>
      <c r="C13" t="s">
        <v>297</v>
      </c>
      <c r="D13" t="s">
        <v>298</v>
      </c>
      <c r="E13" s="131" t="s">
        <v>459</v>
      </c>
      <c r="F13" s="132" t="s">
        <v>459</v>
      </c>
      <c r="G13" s="2"/>
    </row>
    <row r="14" spans="1:9">
      <c r="A14" t="str">
        <f t="shared" si="0"/>
        <v>HERB_ACID</v>
      </c>
      <c r="B14" t="s">
        <v>299</v>
      </c>
      <c r="C14" t="s">
        <v>300</v>
      </c>
      <c r="D14" t="s">
        <v>301</v>
      </c>
      <c r="E14" s="131" t="s">
        <v>459</v>
      </c>
      <c r="F14" s="132" t="s">
        <v>459</v>
      </c>
      <c r="G14" s="2"/>
    </row>
    <row r="15" spans="1:9">
      <c r="A15" t="str">
        <f t="shared" si="0"/>
        <v>HERB_CYCL</v>
      </c>
      <c r="B15" t="s">
        <v>299</v>
      </c>
      <c r="C15" t="s">
        <v>302</v>
      </c>
      <c r="D15" t="s">
        <v>303</v>
      </c>
      <c r="E15" s="131" t="s">
        <v>459</v>
      </c>
      <c r="F15" s="132" t="s">
        <v>459</v>
      </c>
      <c r="G15" s="2"/>
    </row>
    <row r="16" spans="1:9">
      <c r="A16" t="str">
        <f t="shared" si="0"/>
        <v>HERB_FLUA</v>
      </c>
      <c r="B16" t="s">
        <v>299</v>
      </c>
      <c r="C16" t="s">
        <v>304</v>
      </c>
      <c r="D16" t="s">
        <v>305</v>
      </c>
      <c r="E16" s="131" t="s">
        <v>459</v>
      </c>
      <c r="F16" s="132" t="s">
        <v>459</v>
      </c>
      <c r="G16" s="2"/>
    </row>
    <row r="17" spans="1:7">
      <c r="A17" t="str">
        <f t="shared" si="0"/>
        <v>HERB_PROP</v>
      </c>
      <c r="B17" t="s">
        <v>299</v>
      </c>
      <c r="C17" t="s">
        <v>306</v>
      </c>
      <c r="D17" t="s">
        <v>307</v>
      </c>
      <c r="E17" s="131" t="s">
        <v>459</v>
      </c>
      <c r="F17" s="132" t="s">
        <v>459</v>
      </c>
      <c r="G17" s="2"/>
    </row>
    <row r="18" spans="1:7">
      <c r="A18" t="str">
        <f t="shared" si="0"/>
        <v>HERB_PYRA</v>
      </c>
      <c r="B18" t="s">
        <v>299</v>
      </c>
      <c r="C18" t="s">
        <v>308</v>
      </c>
      <c r="D18" t="s">
        <v>309</v>
      </c>
      <c r="E18" s="131" t="s">
        <v>459</v>
      </c>
      <c r="F18" s="132" t="s">
        <v>459</v>
      </c>
      <c r="G18" s="2"/>
    </row>
    <row r="19" spans="1:7">
      <c r="A19" t="str">
        <f t="shared" si="0"/>
        <v>HERB_GLYP</v>
      </c>
      <c r="B19" t="s">
        <v>299</v>
      </c>
      <c r="C19" t="s">
        <v>140</v>
      </c>
      <c r="D19" t="s">
        <v>310</v>
      </c>
      <c r="E19" s="131">
        <v>190</v>
      </c>
      <c r="F19" s="132" t="s">
        <v>515</v>
      </c>
      <c r="G19" s="2"/>
    </row>
    <row r="20" spans="1:7">
      <c r="A20" t="str">
        <f t="shared" si="0"/>
        <v>HERB_CARF</v>
      </c>
      <c r="B20" t="s">
        <v>299</v>
      </c>
      <c r="C20" t="s">
        <v>311</v>
      </c>
      <c r="D20" t="s">
        <v>312</v>
      </c>
      <c r="E20" s="131">
        <v>60.41</v>
      </c>
      <c r="F20" s="132" t="s">
        <v>456</v>
      </c>
      <c r="G20" s="2"/>
    </row>
    <row r="21" spans="1:7">
      <c r="A21" t="str">
        <f t="shared" si="0"/>
        <v>FONG_MAND</v>
      </c>
      <c r="B21" t="s">
        <v>313</v>
      </c>
      <c r="C21" t="s">
        <v>314</v>
      </c>
      <c r="D21" t="s">
        <v>315</v>
      </c>
      <c r="E21" s="131" t="s">
        <v>459</v>
      </c>
      <c r="F21" s="132" t="s">
        <v>459</v>
      </c>
      <c r="G21" s="2"/>
    </row>
    <row r="22" spans="1:7">
      <c r="A22" t="str">
        <f t="shared" si="0"/>
        <v>FONG_VALI</v>
      </c>
      <c r="B22" t="s">
        <v>313</v>
      </c>
      <c r="C22" t="s">
        <v>316</v>
      </c>
      <c r="D22" t="s">
        <v>317</v>
      </c>
      <c r="E22" s="131" t="s">
        <v>459</v>
      </c>
      <c r="F22" s="132" t="s">
        <v>459</v>
      </c>
    </row>
    <row r="23" spans="1:7">
      <c r="A23" t="str">
        <f t="shared" si="0"/>
        <v>FONG_ZOXA</v>
      </c>
      <c r="B23" t="s">
        <v>313</v>
      </c>
      <c r="C23" t="s">
        <v>318</v>
      </c>
      <c r="D23" t="s">
        <v>319</v>
      </c>
      <c r="E23" s="131">
        <v>16.2</v>
      </c>
      <c r="F23" s="132" t="s">
        <v>456</v>
      </c>
    </row>
    <row r="24" spans="1:7">
      <c r="A24" t="str">
        <f t="shared" si="0"/>
        <v>FONG_CYMO</v>
      </c>
      <c r="B24" t="s">
        <v>313</v>
      </c>
      <c r="C24" t="s">
        <v>320</v>
      </c>
      <c r="D24" t="s">
        <v>321</v>
      </c>
      <c r="E24" s="131" t="s">
        <v>459</v>
      </c>
      <c r="F24" s="132" t="s">
        <v>459</v>
      </c>
    </row>
    <row r="25" spans="1:7">
      <c r="A25" t="str">
        <f t="shared" si="0"/>
        <v>FONG_CYAZ</v>
      </c>
      <c r="B25" t="s">
        <v>313</v>
      </c>
      <c r="C25" t="s">
        <v>322</v>
      </c>
      <c r="D25" t="s">
        <v>323</v>
      </c>
      <c r="E25" s="131" t="s">
        <v>459</v>
      </c>
      <c r="F25" s="132" t="s">
        <v>459</v>
      </c>
    </row>
    <row r="26" spans="1:7">
      <c r="A26" t="str">
        <f t="shared" si="0"/>
        <v>FONG_AMÉT</v>
      </c>
      <c r="B26" t="s">
        <v>313</v>
      </c>
      <c r="C26" t="s">
        <v>324</v>
      </c>
      <c r="D26" t="s">
        <v>325</v>
      </c>
      <c r="E26" s="131">
        <v>119</v>
      </c>
      <c r="F26" s="132" t="s">
        <v>511</v>
      </c>
    </row>
    <row r="27" spans="1:7">
      <c r="A27" t="str">
        <f t="shared" si="0"/>
        <v>FONG_FLUO</v>
      </c>
      <c r="B27" t="s">
        <v>313</v>
      </c>
      <c r="C27" t="s">
        <v>326</v>
      </c>
      <c r="D27" t="s">
        <v>327</v>
      </c>
      <c r="E27" s="131" t="s">
        <v>459</v>
      </c>
      <c r="F27" s="132" t="s">
        <v>459</v>
      </c>
    </row>
    <row r="28" spans="1:7">
      <c r="A28" t="str">
        <f t="shared" si="0"/>
        <v>FONG_OXAT</v>
      </c>
      <c r="B28" t="s">
        <v>313</v>
      </c>
      <c r="C28" t="s">
        <v>328</v>
      </c>
      <c r="D28" t="s">
        <v>329</v>
      </c>
      <c r="E28" s="131" t="s">
        <v>459</v>
      </c>
      <c r="F28" s="132" t="s">
        <v>459</v>
      </c>
    </row>
    <row r="29" spans="1:7">
      <c r="A29" t="str">
        <f t="shared" si="0"/>
        <v>FONG_AMIS</v>
      </c>
      <c r="B29" t="s">
        <v>313</v>
      </c>
      <c r="C29" t="s">
        <v>330</v>
      </c>
      <c r="D29" t="s">
        <v>331</v>
      </c>
      <c r="E29" s="131" t="s">
        <v>459</v>
      </c>
      <c r="F29" s="132" t="s">
        <v>459</v>
      </c>
    </row>
    <row r="30" spans="1:7">
      <c r="A30" t="str">
        <f t="shared" si="0"/>
        <v>FONG_FOSÉ</v>
      </c>
      <c r="B30" t="s">
        <v>313</v>
      </c>
      <c r="C30" t="s">
        <v>332</v>
      </c>
      <c r="D30" t="s">
        <v>333</v>
      </c>
      <c r="E30" s="131" t="s">
        <v>459</v>
      </c>
      <c r="F30" s="132" t="s">
        <v>459</v>
      </c>
    </row>
    <row r="31" spans="1:7">
      <c r="A31" t="str">
        <f t="shared" si="0"/>
        <v>FONG_PHOS</v>
      </c>
      <c r="B31" t="s">
        <v>313</v>
      </c>
      <c r="C31" t="s">
        <v>334</v>
      </c>
      <c r="D31" t="s">
        <v>335</v>
      </c>
      <c r="E31" s="131" t="s">
        <v>459</v>
      </c>
      <c r="F31" s="132" t="s">
        <v>459</v>
      </c>
    </row>
    <row r="32" spans="1:7">
      <c r="A32" t="str">
        <f t="shared" si="0"/>
        <v>FONG_PHOS</v>
      </c>
      <c r="B32" t="s">
        <v>313</v>
      </c>
      <c r="C32" t="s">
        <v>336</v>
      </c>
      <c r="D32" t="s">
        <v>337</v>
      </c>
      <c r="E32" s="131" t="s">
        <v>459</v>
      </c>
      <c r="F32" s="132" t="s">
        <v>459</v>
      </c>
    </row>
    <row r="33" spans="1:6">
      <c r="A33" t="str">
        <f t="shared" si="0"/>
        <v>FONG_DITH</v>
      </c>
      <c r="B33" t="s">
        <v>313</v>
      </c>
      <c r="C33" t="s">
        <v>338</v>
      </c>
      <c r="D33" t="s">
        <v>339</v>
      </c>
      <c r="E33" s="131">
        <v>16.600000000000001</v>
      </c>
      <c r="F33" s="132" t="s">
        <v>456</v>
      </c>
    </row>
    <row r="34" spans="1:6">
      <c r="A34" t="str">
        <f t="shared" si="0"/>
        <v>FONG_FOLP</v>
      </c>
      <c r="B34" t="s">
        <v>313</v>
      </c>
      <c r="C34" t="s">
        <v>340</v>
      </c>
      <c r="D34" t="s">
        <v>341</v>
      </c>
      <c r="E34" s="131">
        <v>23.41</v>
      </c>
      <c r="F34" s="132" t="s">
        <v>458</v>
      </c>
    </row>
    <row r="35" spans="1:6">
      <c r="A35" t="str">
        <f t="shared" ref="A35:A66" si="1">_xlfn.CONCAT(UPPER(LEFT(B35,4)),"_",UPPER(LEFT(C35,4)))</f>
        <v>FONG_BENA</v>
      </c>
      <c r="B35" t="s">
        <v>313</v>
      </c>
      <c r="C35" t="s">
        <v>342</v>
      </c>
      <c r="D35" t="s">
        <v>343</v>
      </c>
      <c r="E35" s="131" t="s">
        <v>459</v>
      </c>
      <c r="F35" s="132" t="s">
        <v>459</v>
      </c>
    </row>
    <row r="36" spans="1:6">
      <c r="A36" t="str">
        <f t="shared" si="1"/>
        <v>FONG_MÉTA</v>
      </c>
      <c r="B36" t="s">
        <v>313</v>
      </c>
      <c r="C36" t="s">
        <v>344</v>
      </c>
      <c r="D36" t="s">
        <v>345</v>
      </c>
      <c r="E36" s="131" t="s">
        <v>459</v>
      </c>
      <c r="F36" s="132" t="s">
        <v>459</v>
      </c>
    </row>
    <row r="37" spans="1:6">
      <c r="A37" t="str">
        <f t="shared" si="1"/>
        <v>FONG_CUIV</v>
      </c>
      <c r="B37" t="s">
        <v>313</v>
      </c>
      <c r="C37" t="s">
        <v>346</v>
      </c>
      <c r="D37" t="s">
        <v>347</v>
      </c>
      <c r="E37" s="131" t="s">
        <v>459</v>
      </c>
      <c r="F37" s="132" t="s">
        <v>459</v>
      </c>
    </row>
    <row r="38" spans="1:6">
      <c r="A38" t="str">
        <f t="shared" si="1"/>
        <v>FONG_CUIV</v>
      </c>
      <c r="B38" t="s">
        <v>313</v>
      </c>
      <c r="C38" t="s">
        <v>348</v>
      </c>
      <c r="D38" t="s">
        <v>349</v>
      </c>
      <c r="E38" s="131" t="s">
        <v>459</v>
      </c>
      <c r="F38" s="132" t="s">
        <v>459</v>
      </c>
    </row>
    <row r="39" spans="1:6">
      <c r="A39" t="str">
        <f t="shared" si="1"/>
        <v>FONG_CUIV</v>
      </c>
      <c r="B39" t="s">
        <v>313</v>
      </c>
      <c r="C39" t="s">
        <v>350</v>
      </c>
      <c r="D39" t="s">
        <v>351</v>
      </c>
      <c r="E39" s="137">
        <v>9.5299999999999994</v>
      </c>
      <c r="F39" s="138" t="s">
        <v>456</v>
      </c>
    </row>
    <row r="40" spans="1:6">
      <c r="A40" t="str">
        <f t="shared" si="1"/>
        <v>FONG_CUIV</v>
      </c>
      <c r="B40" t="s">
        <v>313</v>
      </c>
      <c r="C40" t="s">
        <v>352</v>
      </c>
      <c r="D40" t="s">
        <v>353</v>
      </c>
      <c r="E40" s="131" t="s">
        <v>459</v>
      </c>
      <c r="F40" s="132" t="s">
        <v>459</v>
      </c>
    </row>
    <row r="41" spans="1:6">
      <c r="A41" t="str">
        <f t="shared" si="1"/>
        <v>FONG_CUIV</v>
      </c>
      <c r="B41" t="s">
        <v>313</v>
      </c>
      <c r="C41" t="s">
        <v>354</v>
      </c>
      <c r="D41" t="s">
        <v>355</v>
      </c>
      <c r="E41" s="131">
        <v>22.56</v>
      </c>
      <c r="F41" s="132" t="s">
        <v>458</v>
      </c>
    </row>
    <row r="42" spans="1:6">
      <c r="A42" t="str">
        <f t="shared" si="1"/>
        <v>FONG_CUIV</v>
      </c>
      <c r="B42" t="s">
        <v>313</v>
      </c>
      <c r="C42" t="s">
        <v>356</v>
      </c>
      <c r="D42" t="s">
        <v>357</v>
      </c>
      <c r="E42" s="131">
        <v>16.8</v>
      </c>
      <c r="F42" s="132" t="s">
        <v>456</v>
      </c>
    </row>
    <row r="43" spans="1:6">
      <c r="A43" t="str">
        <f t="shared" si="1"/>
        <v>FONG_COS-</v>
      </c>
      <c r="B43" t="s">
        <v>313</v>
      </c>
      <c r="C43" t="s">
        <v>358</v>
      </c>
      <c r="D43" t="s">
        <v>359</v>
      </c>
      <c r="E43" s="131" t="s">
        <v>459</v>
      </c>
      <c r="F43" s="132" t="s">
        <v>459</v>
      </c>
    </row>
    <row r="44" spans="1:6">
      <c r="A44" t="str">
        <f t="shared" si="1"/>
        <v>FONG_HUIL</v>
      </c>
      <c r="B44" t="s">
        <v>313</v>
      </c>
      <c r="C44" t="s">
        <v>360</v>
      </c>
      <c r="D44" t="s">
        <v>361</v>
      </c>
      <c r="E44" s="131" t="s">
        <v>459</v>
      </c>
      <c r="F44" s="132" t="s">
        <v>459</v>
      </c>
    </row>
    <row r="45" spans="1:6">
      <c r="A45" t="str">
        <f t="shared" si="1"/>
        <v>FONG_CERE</v>
      </c>
      <c r="B45" t="s">
        <v>313</v>
      </c>
      <c r="C45" t="s">
        <v>362</v>
      </c>
      <c r="D45" t="s">
        <v>363</v>
      </c>
      <c r="E45" s="131" t="s">
        <v>459</v>
      </c>
      <c r="F45" s="132" t="s">
        <v>459</v>
      </c>
    </row>
    <row r="46" spans="1:6">
      <c r="A46" t="str">
        <f t="shared" si="1"/>
        <v>FONG_ABE-</v>
      </c>
      <c r="B46" t="s">
        <v>313</v>
      </c>
      <c r="C46" t="s">
        <v>364</v>
      </c>
      <c r="D46" t="s">
        <v>365</v>
      </c>
      <c r="E46" s="131" t="s">
        <v>459</v>
      </c>
      <c r="F46" s="132" t="s">
        <v>459</v>
      </c>
    </row>
    <row r="47" spans="1:6">
      <c r="A47" t="str">
        <f t="shared" si="1"/>
        <v>FONG_SPIR</v>
      </c>
      <c r="B47" t="s">
        <v>366</v>
      </c>
      <c r="C47" t="s">
        <v>367</v>
      </c>
      <c r="D47" t="s">
        <v>368</v>
      </c>
      <c r="E47" s="131" t="s">
        <v>459</v>
      </c>
      <c r="F47" s="132" t="s">
        <v>459</v>
      </c>
    </row>
    <row r="48" spans="1:6">
      <c r="A48" t="str">
        <f t="shared" si="1"/>
        <v>FONG_PYRI</v>
      </c>
      <c r="B48" t="s">
        <v>366</v>
      </c>
      <c r="C48" t="s">
        <v>369</v>
      </c>
      <c r="D48" t="s">
        <v>370</v>
      </c>
      <c r="E48" s="131" t="s">
        <v>459</v>
      </c>
      <c r="F48" s="132" t="s">
        <v>459</v>
      </c>
    </row>
    <row r="49" spans="1:8">
      <c r="A49" t="str">
        <f t="shared" si="1"/>
        <v>FONG_MÉTR</v>
      </c>
      <c r="B49" t="s">
        <v>366</v>
      </c>
      <c r="C49" t="s">
        <v>371</v>
      </c>
      <c r="D49" t="s">
        <v>372</v>
      </c>
      <c r="E49" s="131">
        <v>89.15</v>
      </c>
      <c r="F49" s="132" t="s">
        <v>456</v>
      </c>
    </row>
    <row r="50" spans="1:8">
      <c r="A50" t="str">
        <f t="shared" si="1"/>
        <v>FONG_BOSC</v>
      </c>
      <c r="B50" t="s">
        <v>366</v>
      </c>
      <c r="C50" t="s">
        <v>373</v>
      </c>
      <c r="D50" t="s">
        <v>374</v>
      </c>
      <c r="E50" s="131" t="s">
        <v>459</v>
      </c>
      <c r="F50" s="132" t="s">
        <v>459</v>
      </c>
    </row>
    <row r="51" spans="1:8">
      <c r="A51" t="str">
        <f t="shared" si="1"/>
        <v>FONG_FLUO</v>
      </c>
      <c r="B51" t="s">
        <v>366</v>
      </c>
      <c r="C51" t="s">
        <v>375</v>
      </c>
      <c r="D51" t="s">
        <v>376</v>
      </c>
      <c r="E51" s="131" t="s">
        <v>459</v>
      </c>
      <c r="F51" s="132" t="s">
        <v>459</v>
      </c>
    </row>
    <row r="52" spans="1:8">
      <c r="A52" t="str">
        <f t="shared" si="1"/>
        <v>FONG_FLUX</v>
      </c>
      <c r="B52" t="s">
        <v>366</v>
      </c>
      <c r="C52" t="s">
        <v>377</v>
      </c>
      <c r="D52" t="s">
        <v>378</v>
      </c>
      <c r="E52" s="131">
        <v>140</v>
      </c>
      <c r="F52" s="132" t="s">
        <v>456</v>
      </c>
    </row>
    <row r="53" spans="1:8">
      <c r="A53" t="str">
        <f t="shared" si="1"/>
        <v>FONG_CYFL</v>
      </c>
      <c r="B53" t="s">
        <v>366</v>
      </c>
      <c r="C53" t="s">
        <v>379</v>
      </c>
      <c r="D53" t="s">
        <v>380</v>
      </c>
      <c r="E53" s="131" t="s">
        <v>459</v>
      </c>
      <c r="F53" s="132" t="s">
        <v>459</v>
      </c>
    </row>
    <row r="54" spans="1:8">
      <c r="A54" t="str">
        <f t="shared" si="1"/>
        <v>FONG_PROQ</v>
      </c>
      <c r="B54" t="s">
        <v>366</v>
      </c>
      <c r="C54" t="s">
        <v>381</v>
      </c>
      <c r="D54" t="s">
        <v>382</v>
      </c>
      <c r="E54" s="131" t="s">
        <v>459</v>
      </c>
      <c r="F54" s="132" t="s">
        <v>459</v>
      </c>
    </row>
    <row r="55" spans="1:8">
      <c r="A55" t="str">
        <f t="shared" si="1"/>
        <v>FONG_TÉBU</v>
      </c>
      <c r="B55" t="s">
        <v>366</v>
      </c>
      <c r="C55" t="s">
        <v>383</v>
      </c>
      <c r="D55" t="s">
        <v>384</v>
      </c>
      <c r="E55" s="131" t="s">
        <v>459</v>
      </c>
      <c r="F55" s="132" t="s">
        <v>459</v>
      </c>
    </row>
    <row r="56" spans="1:8">
      <c r="A56" t="str">
        <f t="shared" si="1"/>
        <v>FONG_DIFÉ</v>
      </c>
      <c r="B56" t="s">
        <v>366</v>
      </c>
      <c r="C56" t="s">
        <v>385</v>
      </c>
      <c r="D56" t="s">
        <v>386</v>
      </c>
      <c r="E56" s="131" t="s">
        <v>459</v>
      </c>
      <c r="F56" s="132" t="s">
        <v>459</v>
      </c>
    </row>
    <row r="57" spans="1:8">
      <c r="A57" t="str">
        <f t="shared" si="1"/>
        <v>FONG_PENC</v>
      </c>
      <c r="B57" t="s">
        <v>366</v>
      </c>
      <c r="C57" t="s">
        <v>387</v>
      </c>
      <c r="D57" t="s">
        <v>388</v>
      </c>
      <c r="E57" s="131" t="s">
        <v>459</v>
      </c>
      <c r="F57" s="132" t="s">
        <v>459</v>
      </c>
    </row>
    <row r="58" spans="1:8">
      <c r="A58" t="str">
        <f t="shared" si="1"/>
        <v>FONG_MÉFE</v>
      </c>
      <c r="B58" t="s">
        <v>366</v>
      </c>
      <c r="C58" t="s">
        <v>389</v>
      </c>
      <c r="D58" t="s">
        <v>390</v>
      </c>
      <c r="E58" s="131">
        <v>22.07</v>
      </c>
      <c r="F58" s="132" t="s">
        <v>456</v>
      </c>
    </row>
    <row r="59" spans="1:8">
      <c r="A59" t="str">
        <f t="shared" si="1"/>
        <v>FONG_KRÉS</v>
      </c>
      <c r="B59" t="s">
        <v>366</v>
      </c>
      <c r="C59" t="s">
        <v>391</v>
      </c>
      <c r="D59" t="s">
        <v>392</v>
      </c>
      <c r="E59" s="131" t="s">
        <v>459</v>
      </c>
      <c r="F59" s="132" t="s">
        <v>459</v>
      </c>
    </row>
    <row r="60" spans="1:8">
      <c r="A60" t="str">
        <f t="shared" si="1"/>
        <v>FONG_TRIF</v>
      </c>
      <c r="B60" t="s">
        <v>366</v>
      </c>
      <c r="C60" t="s">
        <v>393</v>
      </c>
      <c r="D60" t="s">
        <v>394</v>
      </c>
      <c r="E60" s="131" t="s">
        <v>459</v>
      </c>
      <c r="F60" s="132" t="s">
        <v>459</v>
      </c>
    </row>
    <row r="61" spans="1:8">
      <c r="A61" t="str">
        <f t="shared" si="1"/>
        <v>FONG_SOUF</v>
      </c>
      <c r="B61" t="s">
        <v>366</v>
      </c>
      <c r="C61" t="s">
        <v>395</v>
      </c>
      <c r="D61" t="s">
        <v>396</v>
      </c>
      <c r="E61" s="131">
        <v>1.4</v>
      </c>
      <c r="F61" s="132" t="s">
        <v>458</v>
      </c>
    </row>
    <row r="62" spans="1:8">
      <c r="A62" t="str">
        <f t="shared" si="1"/>
        <v>FONG_HYDR</v>
      </c>
      <c r="B62" t="s">
        <v>366</v>
      </c>
      <c r="C62" t="s">
        <v>397</v>
      </c>
      <c r="D62" t="s">
        <v>512</v>
      </c>
      <c r="E62" s="131">
        <v>15.47</v>
      </c>
      <c r="F62" s="132" t="s">
        <v>458</v>
      </c>
      <c r="H62" t="s">
        <v>513</v>
      </c>
    </row>
    <row r="63" spans="1:8">
      <c r="A63" t="str">
        <f t="shared" si="1"/>
        <v>FONG_HUIL</v>
      </c>
      <c r="B63" t="s">
        <v>366</v>
      </c>
      <c r="C63" t="s">
        <v>399</v>
      </c>
      <c r="D63" t="s">
        <v>400</v>
      </c>
      <c r="E63" s="131" t="s">
        <v>459</v>
      </c>
      <c r="F63" s="132" t="s">
        <v>459</v>
      </c>
      <c r="H63" t="s">
        <v>514</v>
      </c>
    </row>
    <row r="64" spans="1:8">
      <c r="A64" t="str">
        <f t="shared" si="1"/>
        <v>FONG_BACI</v>
      </c>
      <c r="B64" t="s">
        <v>366</v>
      </c>
      <c r="C64" t="s">
        <v>401</v>
      </c>
      <c r="D64" t="s">
        <v>402</v>
      </c>
      <c r="E64" s="131" t="s">
        <v>459</v>
      </c>
      <c r="F64" s="132" t="s">
        <v>459</v>
      </c>
    </row>
    <row r="65" spans="1:6">
      <c r="A65" t="str">
        <f t="shared" si="1"/>
        <v>FONG_BACI</v>
      </c>
      <c r="B65" t="s">
        <v>366</v>
      </c>
      <c r="C65" t="s">
        <v>403</v>
      </c>
      <c r="D65" t="s">
        <v>404</v>
      </c>
      <c r="E65" s="131" t="s">
        <v>459</v>
      </c>
      <c r="F65" s="132" t="s">
        <v>459</v>
      </c>
    </row>
    <row r="66" spans="1:6">
      <c r="A66" t="str">
        <f t="shared" si="1"/>
        <v>FONG_COS-</v>
      </c>
      <c r="B66" t="s">
        <v>366</v>
      </c>
      <c r="C66" t="s">
        <v>358</v>
      </c>
      <c r="D66" t="s">
        <v>405</v>
      </c>
      <c r="E66" s="131" t="s">
        <v>459</v>
      </c>
      <c r="F66" s="132" t="s">
        <v>459</v>
      </c>
    </row>
    <row r="67" spans="1:6">
      <c r="A67" t="str">
        <f t="shared" ref="A67:A98" si="2">_xlfn.CONCAT(UPPER(LEFT(B67,4)),"_",UPPER(LEFT(C67,4)))</f>
        <v>FONG_LAMI</v>
      </c>
      <c r="B67" t="s">
        <v>366</v>
      </c>
      <c r="C67" t="s">
        <v>406</v>
      </c>
      <c r="D67" t="s">
        <v>407</v>
      </c>
      <c r="E67" s="131" t="s">
        <v>459</v>
      </c>
      <c r="F67" s="132" t="s">
        <v>459</v>
      </c>
    </row>
    <row r="68" spans="1:6">
      <c r="A68" t="str">
        <f t="shared" si="2"/>
        <v>FONG_FLUD</v>
      </c>
      <c r="B68" t="s">
        <v>408</v>
      </c>
      <c r="C68" t="s">
        <v>409</v>
      </c>
      <c r="D68" t="s">
        <v>410</v>
      </c>
      <c r="E68" s="131" t="s">
        <v>459</v>
      </c>
      <c r="F68" s="132" t="s">
        <v>459</v>
      </c>
    </row>
    <row r="69" spans="1:6">
      <c r="A69" t="str">
        <f t="shared" si="2"/>
        <v>FONG_CYPR</v>
      </c>
      <c r="B69" t="s">
        <v>408</v>
      </c>
      <c r="C69" t="s">
        <v>411</v>
      </c>
      <c r="D69" t="s">
        <v>412</v>
      </c>
      <c r="E69" s="131" t="s">
        <v>459</v>
      </c>
      <c r="F69" s="132" t="s">
        <v>459</v>
      </c>
    </row>
    <row r="70" spans="1:6">
      <c r="A70" t="str">
        <f t="shared" si="2"/>
        <v>FONG_PYRI</v>
      </c>
      <c r="B70" t="s">
        <v>408</v>
      </c>
      <c r="C70" t="s">
        <v>413</v>
      </c>
      <c r="D70" t="s">
        <v>414</v>
      </c>
      <c r="E70" s="131" t="s">
        <v>459</v>
      </c>
      <c r="F70" s="132" t="s">
        <v>459</v>
      </c>
    </row>
    <row r="71" spans="1:6">
      <c r="A71" t="str">
        <f t="shared" si="2"/>
        <v>FONG_FENP</v>
      </c>
      <c r="B71" t="s">
        <v>408</v>
      </c>
      <c r="C71" t="s">
        <v>415</v>
      </c>
      <c r="D71" t="s">
        <v>416</v>
      </c>
      <c r="E71" s="131" t="s">
        <v>459</v>
      </c>
      <c r="F71" s="132" t="s">
        <v>459</v>
      </c>
    </row>
    <row r="72" spans="1:6">
      <c r="A72" t="str">
        <f t="shared" si="2"/>
        <v>FONG_FENH</v>
      </c>
      <c r="B72" t="s">
        <v>408</v>
      </c>
      <c r="C72" t="s">
        <v>417</v>
      </c>
      <c r="D72" t="s">
        <v>418</v>
      </c>
      <c r="E72" s="131" t="s">
        <v>459</v>
      </c>
      <c r="F72" s="132" t="s">
        <v>459</v>
      </c>
    </row>
    <row r="73" spans="1:6">
      <c r="A73" t="str">
        <f t="shared" si="2"/>
        <v>FONG_ISOF</v>
      </c>
      <c r="B73" t="s">
        <v>408</v>
      </c>
      <c r="C73" t="s">
        <v>419</v>
      </c>
      <c r="D73" t="s">
        <v>420</v>
      </c>
      <c r="E73" s="131" t="s">
        <v>459</v>
      </c>
      <c r="F73" s="132" t="s">
        <v>459</v>
      </c>
    </row>
    <row r="74" spans="1:6">
      <c r="A74" t="str">
        <f t="shared" si="2"/>
        <v>FONG_BOSC</v>
      </c>
      <c r="B74" t="s">
        <v>408</v>
      </c>
      <c r="C74" t="s">
        <v>373</v>
      </c>
      <c r="D74" t="s">
        <v>421</v>
      </c>
      <c r="E74" s="131" t="s">
        <v>459</v>
      </c>
      <c r="F74" s="132" t="s">
        <v>459</v>
      </c>
    </row>
    <row r="75" spans="1:6">
      <c r="A75" t="str">
        <f t="shared" si="2"/>
        <v>FONG_BACI</v>
      </c>
      <c r="B75" t="s">
        <v>408</v>
      </c>
      <c r="C75" t="s">
        <v>422</v>
      </c>
      <c r="D75" t="s">
        <v>423</v>
      </c>
      <c r="E75" s="131" t="s">
        <v>459</v>
      </c>
      <c r="F75" s="132" t="s">
        <v>459</v>
      </c>
    </row>
    <row r="76" spans="1:6">
      <c r="A76" t="str">
        <f t="shared" si="2"/>
        <v>FONG_HYDR</v>
      </c>
      <c r="B76" t="s">
        <v>408</v>
      </c>
      <c r="C76" t="s">
        <v>424</v>
      </c>
      <c r="D76" t="s">
        <v>398</v>
      </c>
      <c r="E76" s="131" t="s">
        <v>459</v>
      </c>
      <c r="F76" s="132" t="s">
        <v>459</v>
      </c>
    </row>
    <row r="77" spans="1:6">
      <c r="A77" t="str">
        <f t="shared" si="2"/>
        <v>FONG_THYM</v>
      </c>
      <c r="B77" t="s">
        <v>408</v>
      </c>
      <c r="C77" t="s">
        <v>425</v>
      </c>
      <c r="D77" t="s">
        <v>426</v>
      </c>
      <c r="E77" s="131" t="s">
        <v>459</v>
      </c>
      <c r="F77" s="132" t="s">
        <v>459</v>
      </c>
    </row>
    <row r="78" spans="1:6">
      <c r="A78" t="str">
        <f t="shared" si="2"/>
        <v>FONG_BACI</v>
      </c>
      <c r="B78" t="s">
        <v>408</v>
      </c>
      <c r="C78" t="s">
        <v>403</v>
      </c>
      <c r="D78" t="s">
        <v>427</v>
      </c>
      <c r="E78" s="131" t="s">
        <v>459</v>
      </c>
      <c r="F78" s="132" t="s">
        <v>459</v>
      </c>
    </row>
    <row r="79" spans="1:6">
      <c r="A79" t="str">
        <f t="shared" si="2"/>
        <v>INSE_DELT</v>
      </c>
      <c r="B79" t="s">
        <v>428</v>
      </c>
      <c r="C79" t="s">
        <v>429</v>
      </c>
      <c r="D79" t="s">
        <v>430</v>
      </c>
      <c r="E79" s="131" t="s">
        <v>459</v>
      </c>
      <c r="F79" s="132" t="s">
        <v>459</v>
      </c>
    </row>
    <row r="80" spans="1:6">
      <c r="A80" t="str">
        <f t="shared" si="2"/>
        <v>INSE_LAMB</v>
      </c>
      <c r="B80" t="s">
        <v>428</v>
      </c>
      <c r="C80" t="s">
        <v>431</v>
      </c>
      <c r="D80" t="s">
        <v>432</v>
      </c>
      <c r="E80" s="131" t="s">
        <v>459</v>
      </c>
      <c r="F80" s="132" t="s">
        <v>459</v>
      </c>
    </row>
    <row r="81" spans="1:6">
      <c r="A81" t="str">
        <f t="shared" si="2"/>
        <v>INSE_ETOF</v>
      </c>
      <c r="B81" t="s">
        <v>428</v>
      </c>
      <c r="C81" t="s">
        <v>433</v>
      </c>
      <c r="D81" t="s">
        <v>434</v>
      </c>
      <c r="E81" s="131" t="s">
        <v>459</v>
      </c>
      <c r="F81" s="132" t="s">
        <v>459</v>
      </c>
    </row>
    <row r="82" spans="1:6">
      <c r="A82" t="str">
        <f t="shared" si="2"/>
        <v>INSE_SPIN</v>
      </c>
      <c r="B82" t="s">
        <v>428</v>
      </c>
      <c r="C82" t="s">
        <v>435</v>
      </c>
      <c r="D82" t="s">
        <v>436</v>
      </c>
      <c r="E82" s="131" t="s">
        <v>459</v>
      </c>
      <c r="F82" s="132" t="s">
        <v>459</v>
      </c>
    </row>
    <row r="83" spans="1:6">
      <c r="A83" t="str">
        <f t="shared" si="2"/>
        <v>INSE_BACI</v>
      </c>
      <c r="B83" t="s">
        <v>428</v>
      </c>
      <c r="C83" t="s">
        <v>437</v>
      </c>
      <c r="D83" t="s">
        <v>438</v>
      </c>
      <c r="E83" s="131" t="s">
        <v>459</v>
      </c>
      <c r="F83" s="132" t="s">
        <v>459</v>
      </c>
    </row>
    <row r="84" spans="1:6">
      <c r="A84" t="str">
        <f t="shared" si="2"/>
        <v>INSE_BACI</v>
      </c>
      <c r="B84" t="s">
        <v>428</v>
      </c>
      <c r="C84" t="s">
        <v>439</v>
      </c>
      <c r="D84" t="s">
        <v>440</v>
      </c>
      <c r="E84" s="131" t="s">
        <v>459</v>
      </c>
      <c r="F84" s="132" t="s">
        <v>459</v>
      </c>
    </row>
    <row r="85" spans="1:6">
      <c r="A85" t="str">
        <f t="shared" si="2"/>
        <v>INSE_ÉMAM</v>
      </c>
      <c r="B85" t="s">
        <v>428</v>
      </c>
      <c r="C85" t="s">
        <v>441</v>
      </c>
      <c r="D85" t="s">
        <v>442</v>
      </c>
      <c r="E85" s="131" t="s">
        <v>459</v>
      </c>
      <c r="F85" s="132" t="s">
        <v>459</v>
      </c>
    </row>
    <row r="86" spans="1:6">
      <c r="A86" t="str">
        <f t="shared" si="2"/>
        <v>PLAN_CHAR</v>
      </c>
      <c r="B86" t="s">
        <v>224</v>
      </c>
      <c r="C86" t="s">
        <v>443</v>
      </c>
      <c r="E86" s="131" t="s">
        <v>459</v>
      </c>
      <c r="F86" s="132" t="s">
        <v>459</v>
      </c>
    </row>
    <row r="87" spans="1:6">
      <c r="A87" t="str">
        <f t="shared" si="2"/>
        <v>PLAN_PINO</v>
      </c>
      <c r="B87" t="s">
        <v>224</v>
      </c>
      <c r="C87" t="s">
        <v>444</v>
      </c>
      <c r="E87" s="131" t="s">
        <v>459</v>
      </c>
      <c r="F87" s="132" t="s">
        <v>459</v>
      </c>
    </row>
    <row r="88" spans="1:6">
      <c r="A88" t="str">
        <f t="shared" si="2"/>
        <v>PLAN_MEUN</v>
      </c>
      <c r="B88" t="s">
        <v>224</v>
      </c>
      <c r="C88" t="s">
        <v>445</v>
      </c>
      <c r="E88" s="131" t="s">
        <v>459</v>
      </c>
      <c r="F88" s="132" t="s">
        <v>459</v>
      </c>
    </row>
    <row r="89" spans="1:6">
      <c r="A89" t="str">
        <f t="shared" si="2"/>
        <v>PLAN_ARBA</v>
      </c>
      <c r="B89" t="s">
        <v>224</v>
      </c>
      <c r="C89" t="s">
        <v>446</v>
      </c>
      <c r="E89" s="131" t="s">
        <v>459</v>
      </c>
      <c r="F89" s="132" t="s">
        <v>459</v>
      </c>
    </row>
    <row r="90" spans="1:6">
      <c r="A90" t="str">
        <f t="shared" si="2"/>
        <v>PLAN_PETI</v>
      </c>
      <c r="B90" t="s">
        <v>224</v>
      </c>
      <c r="C90" t="s">
        <v>447</v>
      </c>
      <c r="E90" s="131" t="s">
        <v>459</v>
      </c>
      <c r="F90" s="132" t="s">
        <v>459</v>
      </c>
    </row>
    <row r="91" spans="1:6">
      <c r="A91" t="str">
        <f t="shared" si="2"/>
        <v>PLAN_PINO</v>
      </c>
      <c r="B91" t="s">
        <v>224</v>
      </c>
      <c r="C91" t="s">
        <v>448</v>
      </c>
      <c r="E91" s="131" t="s">
        <v>459</v>
      </c>
      <c r="F91" s="132" t="s">
        <v>459</v>
      </c>
    </row>
    <row r="92" spans="1:6">
      <c r="A92" t="str">
        <f t="shared" si="2"/>
        <v>PLAN_PINO</v>
      </c>
      <c r="B92" t="s">
        <v>224</v>
      </c>
      <c r="C92" t="s">
        <v>449</v>
      </c>
      <c r="E92" s="131" t="s">
        <v>459</v>
      </c>
      <c r="F92" s="132" t="s">
        <v>459</v>
      </c>
    </row>
    <row r="93" spans="1:6">
      <c r="A93" t="str">
        <f t="shared" si="2"/>
        <v>PLAN_CHAR</v>
      </c>
      <c r="B93" t="s">
        <v>224</v>
      </c>
      <c r="C93" t="s">
        <v>450</v>
      </c>
      <c r="E93" s="131" t="s">
        <v>459</v>
      </c>
      <c r="F93" s="132" t="s">
        <v>459</v>
      </c>
    </row>
    <row r="94" spans="1:6">
      <c r="A94" t="str">
        <f t="shared" si="2"/>
        <v>PLAN_VOLT</v>
      </c>
      <c r="B94" t="s">
        <v>224</v>
      </c>
      <c r="C94" t="s">
        <v>451</v>
      </c>
      <c r="E94" s="131" t="s">
        <v>459</v>
      </c>
      <c r="F94" s="132" t="s">
        <v>459</v>
      </c>
    </row>
    <row r="95" spans="1:6">
      <c r="A95" t="str">
        <f t="shared" si="2"/>
        <v>PLAN_CACH</v>
      </c>
      <c r="B95" t="s">
        <v>224</v>
      </c>
      <c r="C95" t="s">
        <v>452</v>
      </c>
      <c r="E95" s="131" t="s">
        <v>459</v>
      </c>
      <c r="F95" s="132" t="s">
        <v>459</v>
      </c>
    </row>
    <row r="96" spans="1:6">
      <c r="A96" t="str">
        <f t="shared" si="2"/>
        <v>AMEN_MO 6</v>
      </c>
      <c r="B96" t="s">
        <v>460</v>
      </c>
      <c r="C96" t="s">
        <v>461</v>
      </c>
      <c r="D96" t="s">
        <v>517</v>
      </c>
      <c r="E96" s="131" t="s">
        <v>459</v>
      </c>
      <c r="F96" s="132" t="s">
        <v>459</v>
      </c>
    </row>
    <row r="97" spans="1:6">
      <c r="A97" t="str">
        <f t="shared" si="2"/>
        <v>AMEN_MO 6</v>
      </c>
      <c r="B97" t="s">
        <v>460</v>
      </c>
      <c r="C97" t="s">
        <v>462</v>
      </c>
      <c r="D97" t="s">
        <v>518</v>
      </c>
      <c r="E97" s="131" t="s">
        <v>459</v>
      </c>
      <c r="F97" s="132" t="s">
        <v>459</v>
      </c>
    </row>
    <row r="98" spans="1:6">
      <c r="A98" t="str">
        <f t="shared" si="2"/>
        <v>AMEN_MO 4</v>
      </c>
      <c r="B98" t="s">
        <v>460</v>
      </c>
      <c r="C98" t="s">
        <v>463</v>
      </c>
      <c r="D98" t="s">
        <v>519</v>
      </c>
      <c r="E98" s="131" t="s">
        <v>459</v>
      </c>
      <c r="F98" s="132" t="s">
        <v>459</v>
      </c>
    </row>
    <row r="99" spans="1:6">
      <c r="A99" t="str">
        <f t="shared" ref="A99:A130" si="3">_xlfn.CONCAT(UPPER(LEFT(B99,4)),"_",UPPER(LEFT(C99,4)))</f>
        <v>ENGR_4-3-</v>
      </c>
      <c r="B99" t="s">
        <v>464</v>
      </c>
      <c r="C99" t="s">
        <v>465</v>
      </c>
      <c r="D99" t="s">
        <v>520</v>
      </c>
      <c r="E99" s="131" t="s">
        <v>459</v>
      </c>
      <c r="F99" s="132" t="s">
        <v>459</v>
      </c>
    </row>
    <row r="100" spans="1:6">
      <c r="A100" t="str">
        <f t="shared" si="3"/>
        <v>ENGR_9;5;</v>
      </c>
      <c r="B100" t="s">
        <v>464</v>
      </c>
      <c r="C100" t="s">
        <v>466</v>
      </c>
      <c r="D100" t="s">
        <v>521</v>
      </c>
      <c r="E100" s="131" t="s">
        <v>459</v>
      </c>
      <c r="F100" s="132" t="s">
        <v>459</v>
      </c>
    </row>
    <row r="101" spans="1:6">
      <c r="A101" t="str">
        <f t="shared" si="3"/>
        <v>ENGR_3;10</v>
      </c>
      <c r="B101" t="s">
        <v>464</v>
      </c>
      <c r="C101" t="s">
        <v>467</v>
      </c>
      <c r="D101" t="s">
        <v>522</v>
      </c>
      <c r="E101" s="131" t="s">
        <v>459</v>
      </c>
      <c r="F101" s="132" t="s">
        <v>459</v>
      </c>
    </row>
    <row r="102" spans="1:6">
      <c r="A102" t="str">
        <f t="shared" si="3"/>
        <v>ENGR_3-2-</v>
      </c>
      <c r="B102" t="s">
        <v>464</v>
      </c>
      <c r="C102" t="s">
        <v>468</v>
      </c>
      <c r="D102" t="s">
        <v>523</v>
      </c>
      <c r="E102" s="131" t="s">
        <v>459</v>
      </c>
      <c r="F102" s="132" t="s">
        <v>459</v>
      </c>
    </row>
    <row r="103" spans="1:6">
      <c r="A103" t="str">
        <f t="shared" si="3"/>
        <v>ENGR_4-2-</v>
      </c>
      <c r="B103" t="s">
        <v>464</v>
      </c>
      <c r="C103" t="s">
        <v>469</v>
      </c>
      <c r="D103" t="s">
        <v>524</v>
      </c>
      <c r="E103" s="131" t="s">
        <v>459</v>
      </c>
      <c r="F103" s="132" t="s">
        <v>459</v>
      </c>
    </row>
    <row r="104" spans="1:6">
      <c r="A104" t="str">
        <f t="shared" si="3"/>
        <v>ENGR_3-2-</v>
      </c>
      <c r="B104" t="s">
        <v>464</v>
      </c>
      <c r="C104" t="s">
        <v>470</v>
      </c>
      <c r="D104" t="s">
        <v>525</v>
      </c>
      <c r="E104" s="131" t="s">
        <v>459</v>
      </c>
      <c r="F104" s="132" t="s">
        <v>459</v>
      </c>
    </row>
    <row r="105" spans="1:6">
      <c r="A105" t="str">
        <f t="shared" si="3"/>
        <v>ENGR_4-4-</v>
      </c>
      <c r="B105" t="s">
        <v>464</v>
      </c>
      <c r="C105" t="s">
        <v>471</v>
      </c>
      <c r="D105" t="s">
        <v>526</v>
      </c>
      <c r="E105" s="131" t="s">
        <v>459</v>
      </c>
      <c r="F105" s="132" t="s">
        <v>459</v>
      </c>
    </row>
    <row r="106" spans="1:6">
      <c r="A106" t="str">
        <f t="shared" si="3"/>
        <v>ENGR_2,8-</v>
      </c>
      <c r="B106" t="s">
        <v>464</v>
      </c>
      <c r="C106" t="s">
        <v>472</v>
      </c>
      <c r="D106" t="s">
        <v>527</v>
      </c>
      <c r="E106" s="131" t="s">
        <v>459</v>
      </c>
      <c r="F106" s="132" t="s">
        <v>459</v>
      </c>
    </row>
    <row r="107" spans="1:6">
      <c r="A107" t="str">
        <f t="shared" si="3"/>
        <v>ENGR_5-2-</v>
      </c>
      <c r="B107" t="s">
        <v>464</v>
      </c>
      <c r="C107" t="s">
        <v>473</v>
      </c>
      <c r="D107" t="s">
        <v>528</v>
      </c>
      <c r="E107" s="131" t="s">
        <v>459</v>
      </c>
      <c r="F107" s="132" t="s">
        <v>459</v>
      </c>
    </row>
    <row r="108" spans="1:6">
      <c r="A108" t="str">
        <f t="shared" si="3"/>
        <v>ENGR_0-4-</v>
      </c>
      <c r="B108" t="s">
        <v>464</v>
      </c>
      <c r="C108" t="s">
        <v>474</v>
      </c>
      <c r="D108" t="s">
        <v>529</v>
      </c>
      <c r="E108" s="131" t="s">
        <v>459</v>
      </c>
      <c r="F108" s="132" t="s">
        <v>459</v>
      </c>
    </row>
    <row r="109" spans="1:6">
      <c r="A109" t="str">
        <f t="shared" si="3"/>
        <v>ENGR_</v>
      </c>
      <c r="B109" t="s">
        <v>464</v>
      </c>
      <c r="D109" t="s">
        <v>530</v>
      </c>
      <c r="E109" s="131" t="s">
        <v>459</v>
      </c>
      <c r="F109" s="132" t="s">
        <v>459</v>
      </c>
    </row>
    <row r="110" spans="1:6">
      <c r="A110" t="str">
        <f t="shared" si="3"/>
        <v>ENGR_3-3-</v>
      </c>
      <c r="B110" t="s">
        <v>464</v>
      </c>
      <c r="C110" t="s">
        <v>475</v>
      </c>
      <c r="D110" t="s">
        <v>531</v>
      </c>
      <c r="E110" s="131" t="s">
        <v>459</v>
      </c>
      <c r="F110" s="132" t="s">
        <v>459</v>
      </c>
    </row>
    <row r="111" spans="1:6">
      <c r="A111" t="str">
        <f t="shared" si="3"/>
        <v>ENGR_4-3-</v>
      </c>
      <c r="B111" t="s">
        <v>464</v>
      </c>
      <c r="C111" t="s">
        <v>476</v>
      </c>
      <c r="D111" t="s">
        <v>532</v>
      </c>
      <c r="E111" s="131" t="s">
        <v>459</v>
      </c>
      <c r="F111" s="132" t="s">
        <v>459</v>
      </c>
    </row>
    <row r="112" spans="1:6">
      <c r="A112" t="str">
        <f t="shared" si="3"/>
        <v>ENGR_5-4-</v>
      </c>
      <c r="B112" t="s">
        <v>477</v>
      </c>
      <c r="C112" t="s">
        <v>478</v>
      </c>
      <c r="D112" t="s">
        <v>533</v>
      </c>
      <c r="E112" s="131" t="s">
        <v>459</v>
      </c>
      <c r="F112" s="132" t="s">
        <v>459</v>
      </c>
    </row>
    <row r="113" spans="1:6">
      <c r="A113" t="str">
        <f t="shared" si="3"/>
        <v>ENGR_5-3-</v>
      </c>
      <c r="B113" t="s">
        <v>477</v>
      </c>
      <c r="C113" t="s">
        <v>479</v>
      </c>
      <c r="D113" t="s">
        <v>534</v>
      </c>
      <c r="E113" s="131" t="s">
        <v>459</v>
      </c>
      <c r="F113" s="132" t="s">
        <v>459</v>
      </c>
    </row>
    <row r="114" spans="1:6">
      <c r="A114" t="str">
        <f t="shared" si="3"/>
        <v>ENGR_6-3-</v>
      </c>
      <c r="B114" t="s">
        <v>477</v>
      </c>
      <c r="C114" t="s">
        <v>480</v>
      </c>
      <c r="D114" t="s">
        <v>535</v>
      </c>
      <c r="E114" s="131" t="s">
        <v>459</v>
      </c>
      <c r="F114" s="132" t="s">
        <v>459</v>
      </c>
    </row>
    <row r="115" spans="1:6">
      <c r="A115" t="str">
        <f t="shared" si="3"/>
        <v>ENGR_5-3-</v>
      </c>
      <c r="B115" t="s">
        <v>477</v>
      </c>
      <c r="C115" t="s">
        <v>481</v>
      </c>
      <c r="D115" t="s">
        <v>536</v>
      </c>
      <c r="E115" s="131" t="s">
        <v>459</v>
      </c>
      <c r="F115" s="132" t="s">
        <v>459</v>
      </c>
    </row>
    <row r="116" spans="1:6">
      <c r="A116" t="str">
        <f t="shared" si="3"/>
        <v xml:space="preserve">ENGR_MGO </v>
      </c>
      <c r="B116" t="s">
        <v>482</v>
      </c>
      <c r="C116" t="s">
        <v>483</v>
      </c>
      <c r="D116" t="s">
        <v>537</v>
      </c>
      <c r="E116" s="131" t="s">
        <v>459</v>
      </c>
      <c r="F116" s="132" t="s">
        <v>459</v>
      </c>
    </row>
    <row r="117" spans="1:6">
      <c r="A117" t="str">
        <f t="shared" si="3"/>
        <v xml:space="preserve">ENGR_CAO </v>
      </c>
      <c r="B117" t="s">
        <v>482</v>
      </c>
      <c r="C117" t="s">
        <v>484</v>
      </c>
      <c r="D117" t="s">
        <v>538</v>
      </c>
      <c r="E117" s="131" t="s">
        <v>459</v>
      </c>
      <c r="F117" s="132" t="s">
        <v>459</v>
      </c>
    </row>
    <row r="118" spans="1:6">
      <c r="A118" t="str">
        <f t="shared" si="3"/>
        <v>ENGR_N 12</v>
      </c>
      <c r="B118" t="s">
        <v>482</v>
      </c>
      <c r="C118" t="s">
        <v>485</v>
      </c>
      <c r="D118" t="s">
        <v>539</v>
      </c>
      <c r="E118" s="131" t="s">
        <v>459</v>
      </c>
      <c r="F118" s="132" t="s">
        <v>459</v>
      </c>
    </row>
    <row r="119" spans="1:6">
      <c r="A119" t="str">
        <f t="shared" si="3"/>
        <v>ENGR_N 20</v>
      </c>
      <c r="B119" t="s">
        <v>482</v>
      </c>
      <c r="C119" t="s">
        <v>486</v>
      </c>
      <c r="D119" t="s">
        <v>540</v>
      </c>
      <c r="E119" s="131" t="s">
        <v>459</v>
      </c>
      <c r="F119" s="132" t="s">
        <v>459</v>
      </c>
    </row>
    <row r="120" spans="1:6">
      <c r="A120" t="str">
        <f t="shared" si="3"/>
        <v xml:space="preserve">ENGR_K2O </v>
      </c>
      <c r="B120" t="s">
        <v>482</v>
      </c>
      <c r="C120" t="s">
        <v>487</v>
      </c>
      <c r="D120" t="s">
        <v>541</v>
      </c>
      <c r="E120" s="131" t="s">
        <v>459</v>
      </c>
      <c r="F120" s="132" t="s">
        <v>459</v>
      </c>
    </row>
    <row r="121" spans="1:6">
      <c r="A121" t="str">
        <f t="shared" si="3"/>
        <v>ENGR_0-10</v>
      </c>
      <c r="B121" t="s">
        <v>482</v>
      </c>
      <c r="C121" t="s">
        <v>488</v>
      </c>
      <c r="D121" t="s">
        <v>542</v>
      </c>
      <c r="E121" s="131" t="s">
        <v>459</v>
      </c>
      <c r="F121" s="132" t="s">
        <v>459</v>
      </c>
    </row>
    <row r="122" spans="1:6">
      <c r="A122" t="str">
        <f t="shared" si="3"/>
        <v>ENGR_6-4-</v>
      </c>
      <c r="B122" t="s">
        <v>482</v>
      </c>
      <c r="C122" t="s">
        <v>489</v>
      </c>
      <c r="D122" t="s">
        <v>543</v>
      </c>
      <c r="E122" s="131" t="s">
        <v>459</v>
      </c>
      <c r="F122" s="132" t="s">
        <v>459</v>
      </c>
    </row>
    <row r="123" spans="1:6">
      <c r="A123" t="str">
        <f t="shared" si="3"/>
        <v>ENGR_7-14</v>
      </c>
      <c r="B123" t="s">
        <v>482</v>
      </c>
      <c r="C123" t="s">
        <v>490</v>
      </c>
      <c r="D123" t="s">
        <v>544</v>
      </c>
      <c r="E123" s="131" t="s">
        <v>459</v>
      </c>
      <c r="F123" s="132" t="s">
        <v>459</v>
      </c>
    </row>
    <row r="124" spans="1:6">
      <c r="A124" t="str">
        <f t="shared" si="3"/>
        <v>ENGR_0,27</v>
      </c>
      <c r="B124" t="s">
        <v>482</v>
      </c>
      <c r="C124">
        <v>0.27</v>
      </c>
      <c r="D124" t="s">
        <v>545</v>
      </c>
      <c r="E124" s="131" t="s">
        <v>459</v>
      </c>
      <c r="F124" s="132" t="s">
        <v>459</v>
      </c>
    </row>
    <row r="125" spans="1:6">
      <c r="A125" t="str">
        <f t="shared" si="3"/>
        <v>ENGR_</v>
      </c>
      <c r="B125" t="s">
        <v>482</v>
      </c>
      <c r="D125" t="s">
        <v>546</v>
      </c>
      <c r="E125" s="131" t="s">
        <v>459</v>
      </c>
      <c r="F125" s="132" t="s">
        <v>459</v>
      </c>
    </row>
    <row r="126" spans="1:6">
      <c r="A126" t="str">
        <f t="shared" si="3"/>
        <v>ENGR_</v>
      </c>
      <c r="B126" t="s">
        <v>482</v>
      </c>
      <c r="D126" t="s">
        <v>547</v>
      </c>
      <c r="E126" s="131" t="s">
        <v>459</v>
      </c>
      <c r="F126" s="132" t="s">
        <v>459</v>
      </c>
    </row>
    <row r="127" spans="1:6">
      <c r="A127" t="str">
        <f t="shared" si="3"/>
        <v>ENGR_</v>
      </c>
      <c r="B127" t="s">
        <v>482</v>
      </c>
      <c r="D127" t="s">
        <v>548</v>
      </c>
      <c r="E127" s="131" t="s">
        <v>459</v>
      </c>
      <c r="F127" s="132" t="s">
        <v>459</v>
      </c>
    </row>
    <row r="128" spans="1:6">
      <c r="A128" t="str">
        <f t="shared" si="3"/>
        <v>ENGR_</v>
      </c>
      <c r="B128" t="s">
        <v>482</v>
      </c>
      <c r="D128" t="s">
        <v>549</v>
      </c>
      <c r="E128" s="131" t="s">
        <v>459</v>
      </c>
      <c r="F128" s="132" t="s">
        <v>459</v>
      </c>
    </row>
    <row r="129" spans="1:6">
      <c r="A129" t="str">
        <f t="shared" si="3"/>
        <v>ENGR_30</v>
      </c>
      <c r="B129" t="s">
        <v>482</v>
      </c>
      <c r="C129">
        <v>30</v>
      </c>
      <c r="D129" t="s">
        <v>550</v>
      </c>
      <c r="E129" s="131" t="s">
        <v>459</v>
      </c>
      <c r="F129" s="132" t="s">
        <v>459</v>
      </c>
    </row>
    <row r="130" spans="1:6">
      <c r="A130" t="str">
        <f t="shared" si="3"/>
        <v>ENGR_10;1</v>
      </c>
      <c r="B130" t="s">
        <v>482</v>
      </c>
      <c r="C130" t="s">
        <v>491</v>
      </c>
      <c r="D130" t="s">
        <v>551</v>
      </c>
      <c r="E130" s="131" t="s">
        <v>459</v>
      </c>
      <c r="F130" s="132" t="s">
        <v>459</v>
      </c>
    </row>
    <row r="131" spans="1:6">
      <c r="A131" t="str">
        <f t="shared" ref="A131:A146" si="4">_xlfn.CONCAT(UPPER(LEFT(B131,4)),"_",UPPER(LEFT(C131,4)))</f>
        <v>ENGR_12-0</v>
      </c>
      <c r="B131" t="s">
        <v>482</v>
      </c>
      <c r="C131" t="s">
        <v>492</v>
      </c>
      <c r="D131" t="s">
        <v>552</v>
      </c>
      <c r="E131" s="131" t="s">
        <v>459</v>
      </c>
      <c r="F131" s="132" t="s">
        <v>459</v>
      </c>
    </row>
    <row r="132" spans="1:6">
      <c r="A132" t="str">
        <f t="shared" si="4"/>
        <v>ENGR_20+5</v>
      </c>
      <c r="B132" t="s">
        <v>482</v>
      </c>
      <c r="C132" t="s">
        <v>493</v>
      </c>
      <c r="D132" t="s">
        <v>553</v>
      </c>
      <c r="E132" s="131" t="s">
        <v>459</v>
      </c>
      <c r="F132" s="132" t="s">
        <v>459</v>
      </c>
    </row>
    <row r="133" spans="1:6">
      <c r="A133" t="str">
        <f t="shared" si="4"/>
        <v>ENGR_6;4;</v>
      </c>
      <c r="B133" t="s">
        <v>482</v>
      </c>
      <c r="C133" t="s">
        <v>494</v>
      </c>
      <c r="D133" t="s">
        <v>554</v>
      </c>
      <c r="E133" s="131" t="s">
        <v>459</v>
      </c>
      <c r="F133" s="132" t="s">
        <v>459</v>
      </c>
    </row>
    <row r="134" spans="1:6">
      <c r="A134" t="str">
        <f t="shared" si="4"/>
        <v>ENGR_</v>
      </c>
      <c r="B134" t="s">
        <v>482</v>
      </c>
      <c r="D134" t="s">
        <v>555</v>
      </c>
      <c r="E134" s="131" t="s">
        <v>459</v>
      </c>
      <c r="F134" s="132" t="s">
        <v>459</v>
      </c>
    </row>
    <row r="135" spans="1:6">
      <c r="A135" t="str">
        <f t="shared" si="4"/>
        <v>ENGR_</v>
      </c>
      <c r="B135" t="s">
        <v>482</v>
      </c>
      <c r="D135" t="s">
        <v>556</v>
      </c>
      <c r="E135" s="131" t="s">
        <v>459</v>
      </c>
      <c r="F135" s="132" t="s">
        <v>459</v>
      </c>
    </row>
    <row r="136" spans="1:6">
      <c r="A136" t="str">
        <f t="shared" si="4"/>
        <v>ENGR_</v>
      </c>
      <c r="B136" t="s">
        <v>482</v>
      </c>
      <c r="D136" t="s">
        <v>557</v>
      </c>
      <c r="E136" s="131" t="s">
        <v>459</v>
      </c>
      <c r="F136" s="132" t="s">
        <v>459</v>
      </c>
    </row>
    <row r="137" spans="1:6">
      <c r="A137" t="str">
        <f t="shared" si="4"/>
        <v>ENGR_</v>
      </c>
      <c r="B137" t="s">
        <v>482</v>
      </c>
      <c r="D137" t="s">
        <v>558</v>
      </c>
      <c r="E137" s="131" t="s">
        <v>459</v>
      </c>
      <c r="F137" s="132" t="s">
        <v>459</v>
      </c>
    </row>
    <row r="138" spans="1:6">
      <c r="A138" t="str">
        <f t="shared" si="4"/>
        <v>ENGR_17,4</v>
      </c>
      <c r="B138" t="s">
        <v>482</v>
      </c>
      <c r="C138" t="s">
        <v>495</v>
      </c>
      <c r="D138" t="s">
        <v>559</v>
      </c>
      <c r="E138" s="131" t="s">
        <v>459</v>
      </c>
      <c r="F138" s="132" t="s">
        <v>459</v>
      </c>
    </row>
    <row r="139" spans="1:6">
      <c r="A139" t="str">
        <f t="shared" si="4"/>
        <v>ENGR_30-0</v>
      </c>
      <c r="B139" t="s">
        <v>482</v>
      </c>
      <c r="C139" t="s">
        <v>496</v>
      </c>
      <c r="D139" t="s">
        <v>560</v>
      </c>
      <c r="E139" s="131" t="s">
        <v>459</v>
      </c>
      <c r="F139" s="132" t="s">
        <v>459</v>
      </c>
    </row>
    <row r="140" spans="1:6">
      <c r="A140" t="str">
        <f t="shared" si="4"/>
        <v>ENGR_</v>
      </c>
      <c r="B140" t="s">
        <v>482</v>
      </c>
      <c r="D140" t="s">
        <v>561</v>
      </c>
      <c r="E140" s="131" t="s">
        <v>459</v>
      </c>
      <c r="F140" s="132" t="s">
        <v>459</v>
      </c>
    </row>
    <row r="141" spans="1:6">
      <c r="A141" t="str">
        <f t="shared" si="4"/>
        <v>ENGR_</v>
      </c>
      <c r="B141" t="s">
        <v>482</v>
      </c>
      <c r="D141" t="s">
        <v>562</v>
      </c>
      <c r="E141" s="131" t="s">
        <v>459</v>
      </c>
      <c r="F141" s="132" t="s">
        <v>459</v>
      </c>
    </row>
    <row r="142" spans="1:6">
      <c r="A142" t="str">
        <f t="shared" si="4"/>
        <v>ENGR_10-0</v>
      </c>
      <c r="B142" t="s">
        <v>482</v>
      </c>
      <c r="C142" t="s">
        <v>497</v>
      </c>
      <c r="D142" t="s">
        <v>563</v>
      </c>
      <c r="E142" s="131" t="s">
        <v>459</v>
      </c>
      <c r="F142" s="132" t="s">
        <v>459</v>
      </c>
    </row>
    <row r="143" spans="1:6">
      <c r="A143" t="str">
        <f t="shared" si="4"/>
        <v>CHÉL_FE E</v>
      </c>
      <c r="B143" t="s">
        <v>498</v>
      </c>
      <c r="C143" t="s">
        <v>499</v>
      </c>
      <c r="D143" t="s">
        <v>564</v>
      </c>
      <c r="E143" s="131" t="s">
        <v>459</v>
      </c>
      <c r="F143" s="132" t="s">
        <v>459</v>
      </c>
    </row>
    <row r="144" spans="1:6">
      <c r="A144" t="str">
        <f t="shared" si="4"/>
        <v>CHÉL_FE E</v>
      </c>
      <c r="B144" t="s">
        <v>498</v>
      </c>
      <c r="C144" t="s">
        <v>499</v>
      </c>
      <c r="D144" t="s">
        <v>565</v>
      </c>
      <c r="E144" s="131" t="s">
        <v>459</v>
      </c>
      <c r="F144" s="132" t="s">
        <v>459</v>
      </c>
    </row>
    <row r="145" spans="1:6">
      <c r="A145" t="str">
        <f t="shared" si="4"/>
        <v>CHÉL_FE 1</v>
      </c>
      <c r="B145" t="s">
        <v>498</v>
      </c>
      <c r="C145" t="s">
        <v>500</v>
      </c>
      <c r="D145" t="s">
        <v>566</v>
      </c>
      <c r="E145" s="131" t="s">
        <v>459</v>
      </c>
      <c r="F145" s="132" t="s">
        <v>459</v>
      </c>
    </row>
    <row r="146" spans="1:6">
      <c r="A146" t="str">
        <f t="shared" si="4"/>
        <v>CARB_HVO1</v>
      </c>
      <c r="B146" t="s">
        <v>501</v>
      </c>
      <c r="C146" t="s">
        <v>502</v>
      </c>
      <c r="D146" t="s">
        <v>502</v>
      </c>
      <c r="E146" s="131" t="s">
        <v>459</v>
      </c>
      <c r="F146" s="132" t="s">
        <v>459</v>
      </c>
    </row>
    <row r="147" spans="1:6">
      <c r="A147" t="str">
        <f>_xlfn.CONCAT(UPPER(LEFT(B147,4)),"_",UPPER(LEFT(C147,4)))</f>
        <v>CARB_GNR</v>
      </c>
      <c r="B147" t="s">
        <v>501</v>
      </c>
      <c r="C147" t="s">
        <v>503</v>
      </c>
      <c r="D147" t="s">
        <v>503</v>
      </c>
      <c r="E147" s="131" t="s">
        <v>459</v>
      </c>
      <c r="F147" s="132" t="s">
        <v>459</v>
      </c>
    </row>
    <row r="148" spans="1:6">
      <c r="A148" t="str">
        <f>_xlfn.CONCAT(UPPER(LEFT(B148,4)),"_",UPPER(LEFT(C148,4)))</f>
        <v>GEL_PELE</v>
      </c>
      <c r="B148" t="s">
        <v>505</v>
      </c>
      <c r="C148" t="s">
        <v>506</v>
      </c>
      <c r="D148" t="s">
        <v>507</v>
      </c>
      <c r="E148" s="38">
        <v>380</v>
      </c>
      <c r="F148" s="130" t="s">
        <v>508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0714-3B23-4478-AADB-C601305C681E}">
  <sheetPr codeName="Feuil8"/>
  <dimension ref="A1:E41"/>
  <sheetViews>
    <sheetView zoomScaleNormal="100" workbookViewId="0">
      <selection activeCell="B25" sqref="B25"/>
    </sheetView>
  </sheetViews>
  <sheetFormatPr baseColWidth="10" defaultRowHeight="14.4"/>
  <cols>
    <col min="1" max="1" width="29.109375" customWidth="1"/>
    <col min="2" max="2" width="18.44140625" customWidth="1"/>
    <col min="3" max="3" width="38.33203125" bestFit="1" customWidth="1"/>
    <col min="4" max="4" width="31.6640625" customWidth="1"/>
    <col min="5" max="5" width="14.109375" bestFit="1" customWidth="1"/>
  </cols>
  <sheetData>
    <row r="1" spans="1:5" s="88" customFormat="1" ht="64.95" customHeight="1"/>
    <row r="2" spans="1:5" ht="22.2" customHeight="1">
      <c r="A2" s="89" t="s">
        <v>163</v>
      </c>
      <c r="B2" s="90"/>
      <c r="C2" s="90"/>
      <c r="D2" s="90"/>
    </row>
    <row r="3" spans="1:5">
      <c r="A3" s="49"/>
    </row>
    <row r="4">
      <c r="A4" s="50" t="s">
        <v>733</v>
      </c>
      <c r="B4" s="48"/>
      <c r="E4" s="38"/>
    </row>
    <row r="5" spans="1:5">
      <c r="A5" s="52" t="s">
        <v>167</v>
      </c>
      <c r="B5" s="42">
        <v>24</v>
      </c>
    </row>
    <row r="6" spans="1:5">
      <c r="A6" s="52" t="s">
        <v>168</v>
      </c>
      <c r="B6" s="42">
        <v>7</v>
      </c>
    </row>
    <row r="7" spans="1:5">
      <c r="A7" s="52" t="s">
        <v>169</v>
      </c>
      <c r="B7" s="42">
        <v>1.1000000000000001</v>
      </c>
    </row>
    <row r="8" spans="1:5">
      <c r="A8" s="52" t="s">
        <v>170</v>
      </c>
      <c r="B8" s="42">
        <v>1.1000000000000001</v>
      </c>
    </row>
    <row r="9" spans="1:5">
      <c r="A9" s="52" t="s">
        <v>171</v>
      </c>
      <c r="B9" s="43">
        <f>ROUND($B$6/$B$7,0)</f>
        <v>6</v>
      </c>
    </row>
    <row r="10" spans="1:5">
      <c r="A10" s="52" t="s">
        <v>172</v>
      </c>
      <c r="B10" s="44">
        <f>$B$5</f>
        <v>24</v>
      </c>
    </row>
    <row r="11" spans="1:5">
      <c r="A11" s="57" t="s">
        <v>173</v>
      </c>
      <c r="B11" s="45">
        <f>($B$5*$B$6)/10000</f>
        <v>1.6799999999999999E-2</v>
      </c>
    </row>
    <row r="12" spans="1:5" ht="15" thickBot="1">
      <c r="A12" s="58"/>
      <c r="B12" s="51"/>
      <c r="C12" s="51"/>
    </row>
    <row r="13" spans="1:5">
      <c r="A13" s="66" t="s">
        <v>166</v>
      </c>
      <c r="B13" s="67"/>
    </row>
    <row r="14" spans="1:5">
      <c r="A14" s="58" t="s">
        <v>182</v>
      </c>
      <c r="B14" s="68">
        <v>400</v>
      </c>
    </row>
    <row r="15" spans="1:5">
      <c r="A15" s="58" t="s">
        <v>183</v>
      </c>
      <c r="B15" s="69">
        <f>ROUND($B$9*($B$10/$B$8),0)</f>
        <v>131</v>
      </c>
    </row>
    <row r="16" spans="1:5">
      <c r="A16" s="58" t="s">
        <v>179</v>
      </c>
      <c r="B16" s="70">
        <f>IFERROR($B$15/$B$14,0)</f>
        <v>0.32750000000000001</v>
      </c>
    </row>
    <row r="17" spans="1:4" ht="15.6">
      <c r="A17" s="78" t="s">
        <v>180</v>
      </c>
      <c r="B17" s="76">
        <f>IFERROR($B$11/$B$16,0)</f>
        <v>5.1297709923664114E-2</v>
      </c>
    </row>
    <row r="18" spans="1:4" ht="16.2" thickBot="1">
      <c r="A18" s="79" t="s">
        <v>181</v>
      </c>
      <c r="B18" s="77">
        <f>IFERROR(1/$B$17,0)</f>
        <v>19.49404761904762</v>
      </c>
    </row>
    <row r="19" spans="1:4" ht="15" thickBot="1">
      <c r="A19" s="58"/>
      <c r="B19" s="51"/>
    </row>
    <row r="20" spans="1:4">
      <c r="A20" s="64" t="s">
        <v>165</v>
      </c>
      <c r="B20" s="63"/>
    </row>
    <row r="21" spans="1:4">
      <c r="A21" s="65" t="s">
        <v>174</v>
      </c>
      <c r="B21" s="53">
        <v>4</v>
      </c>
    </row>
    <row r="22" spans="1:4">
      <c r="A22" s="65" t="s">
        <v>175</v>
      </c>
      <c r="B22" s="54">
        <v>2</v>
      </c>
      <c r="D22" s="51"/>
    </row>
    <row r="23" spans="1:4">
      <c r="A23" s="65" t="s">
        <v>176</v>
      </c>
      <c r="B23" s="54">
        <v>45</v>
      </c>
      <c r="D23" s="51"/>
    </row>
    <row r="24" spans="1:4">
      <c r="A24" s="65" t="s">
        <v>186</v>
      </c>
      <c r="B24" s="84">
        <v>0.1</v>
      </c>
      <c r="D24" s="51"/>
    </row>
    <row r="25" spans="1:4">
      <c r="A25" s="65" t="s">
        <v>190</v>
      </c>
      <c r="B25" s="84">
        <v>0.1</v>
      </c>
      <c r="D25" s="51"/>
    </row>
    <row r="26" spans="1:4">
      <c r="A26" s="65" t="s">
        <v>177</v>
      </c>
      <c r="B26" s="55">
        <f>CEILING($B$9/$B$22,1)</f>
        <v>3</v>
      </c>
      <c r="D26" s="51"/>
    </row>
    <row r="27" spans="1:4">
      <c r="A27" s="65" t="s">
        <v>178</v>
      </c>
      <c r="B27" s="55">
        <f>$B$10*$B$26</f>
        <v>72</v>
      </c>
      <c r="D27" s="51"/>
    </row>
    <row r="28" spans="1:4">
      <c r="A28" s="52" t="s">
        <v>187</v>
      </c>
      <c r="B28" s="56">
        <f>IFERROR($B$27/($B$21*1000)+$B$26*($B$23/3600),0)</f>
        <v>5.5500000000000008E-2</v>
      </c>
      <c r="D28" s="51"/>
    </row>
    <row r="29" spans="1:4">
      <c r="A29" s="52" t="s">
        <v>179</v>
      </c>
      <c r="B29" s="56">
        <f>IFERROR(B28+(B25*B28)+(B24*B28),0)</f>
        <v>6.6600000000000006E-2</v>
      </c>
      <c r="D29" s="51"/>
    </row>
    <row r="30" spans="1:4" ht="15.6">
      <c r="A30" s="80" t="s">
        <v>180</v>
      </c>
      <c r="B30" s="82">
        <f>IFERROR($B$11/$B$29,0)</f>
        <v>0.25225225225225223</v>
      </c>
      <c r="D30" s="51"/>
    </row>
    <row r="31" spans="1:4" ht="16.2" thickBot="1">
      <c r="A31" s="81" t="s">
        <v>181</v>
      </c>
      <c r="B31" s="83">
        <f>IFERROR(1/$B$30,0)</f>
        <v>3.9642857142857149</v>
      </c>
      <c r="D31" s="51"/>
    </row>
    <row r="32" spans="1:4" ht="15" thickBot="1">
      <c r="D32" s="51"/>
    </row>
    <row r="33" spans="1:4">
      <c r="A33" s="71" t="s">
        <v>184</v>
      </c>
      <c r="B33" s="72"/>
      <c r="C33" s="73"/>
      <c r="D33" s="51"/>
    </row>
    <row r="34" spans="1:4">
      <c r="A34" s="59" t="s">
        <v>185</v>
      </c>
      <c r="B34" s="46" t="s">
        <v>180</v>
      </c>
      <c r="C34" s="74" t="s">
        <v>181</v>
      </c>
      <c r="D34" s="51"/>
    </row>
    <row r="35">
      <c r="A35" s="60">
        <v>2</v>
      </c>
      <c r="B35" s="47">
        <f t="shared" ref="B35:B41" si="0">IFERROR($B$11/((($B$10*CEILING($B$9/$B$22,1))/($A35*1000)+CEILING($B$9/$B$22,1)*($B$23/3600))*(1+$B$24+$B$25)),0)</f>
      </c>
      <c r="C35" s="56">
        <f t="shared" ref="C35:C41" si="1">IFERROR(1/B35,0)</f>
        <v>4.3750000000000009</v>
      </c>
    </row>
    <row r="36" spans="1:4">
      <c r="A36" s="60">
        <v>3</v>
      </c>
      <c r="B36" s="47">
        <f t="shared" si="0"/>
        <v>0.27317073170731704</v>
      </c>
      <c r="C36" s="56">
        <f t="shared" si="1"/>
        <v>3.660714285714286</v>
      </c>
    </row>
    <row r="37" spans="1:4">
      <c r="A37" s="60">
        <v>4</v>
      </c>
      <c r="B37" s="47">
        <f t="shared" si="0"/>
        <v>0.30270270270270266</v>
      </c>
      <c r="C37" s="56">
        <f t="shared" si="1"/>
        <v>3.3035714285714288</v>
      </c>
    </row>
    <row r="38" spans="1:4">
      <c r="A38" s="60">
        <v>5</v>
      </c>
      <c r="B38" s="47">
        <f t="shared" si="0"/>
        <v>0.32369942196531787</v>
      </c>
      <c r="C38" s="56">
        <f t="shared" si="1"/>
        <v>3.0892857142857149</v>
      </c>
    </row>
    <row r="39" spans="1:4">
      <c r="A39" s="60">
        <v>6</v>
      </c>
      <c r="B39" s="47">
        <f t="shared" si="0"/>
        <v>0.33939393939393936</v>
      </c>
      <c r="C39" s="56">
        <f t="shared" si="1"/>
        <v>2.9464285714285716</v>
      </c>
    </row>
    <row r="40" spans="1:4">
      <c r="A40" s="60">
        <v>7</v>
      </c>
      <c r="B40" s="47">
        <f t="shared" si="0"/>
        <v>0.35156950672645731</v>
      </c>
      <c r="C40" s="56">
        <f t="shared" si="1"/>
        <v>2.8443877551020416</v>
      </c>
    </row>
    <row r="41" spans="1:4" ht="15" thickBot="1">
      <c r="A41" s="61">
        <v>8</v>
      </c>
      <c r="B41" s="62">
        <f t="shared" si="0"/>
        <v>0.36129032258064508</v>
      </c>
      <c r="C41" s="75">
        <f t="shared" si="1"/>
        <v>2.7678571428571432</v>
      </c>
    </row>
  </sheetData>
  <dataValidations count="2">
    <dataValidation type="decimal" operator="greaterThan" allowBlank="1" showInputMessage="1" showErrorMessage="1" sqref="B5:B8 B21" xr:uid="{950B84DF-0D59-4A5F-A540-110E99FFB5A2}">
      <formula1>0</formula1>
    </dataValidation>
    <dataValidation type="whole" operator="greaterThan" allowBlank="1" showInputMessage="1" showErrorMessage="1" sqref="B14 B22" xr:uid="{C0BEB2E5-8684-4786-B4D0-8C7DD4FD97A1}">
      <formula1>0</formula1>
    </dataValidation>
  </dataValidation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269FA-222C-4E75-B1C3-F0D397E06EC2}">
  <dimension ref="A1:C15"/>
  <sheetViews>
    <sheetView workbookViewId="0"/>
  </sheetViews>
  <sheetFormatPr baseColWidth="10" defaultRowHeight="14.4"/>
  <cols>
    <col min="1" max="1" width="97.6640625" bestFit="1" customWidth="1"/>
    <col min="2" max="2" width="8" bestFit="1" customWidth="1"/>
    <col min="3" max="3" width="45.44140625" bestFit="1" customWidth="1"/>
  </cols>
  <sheetData>
    <row r="1" spans="1:3" ht="18">
      <c r="A1" s="145" t="s">
        <v>577</v>
      </c>
    </row>
    <row r="3" spans="1:3">
      <c r="A3" s="146" t="s">
        <v>578</v>
      </c>
      <c r="B3" s="146" t="s">
        <v>579</v>
      </c>
      <c r="C3" s="146" t="s">
        <v>580</v>
      </c>
    </row>
    <row r="4" spans="1:3">
      <c r="A4" t="s">
        <v>581</v>
      </c>
      <c r="B4" s="147" cm="1">
        <f t="array" ref="B4">SUMPRODUCT(--ISERROR(Tableau_operations[Cout total HT (€/ha)]))</f>
        <v>0</v>
      </c>
      <c r="C4" t="s">
        <v>582</v>
      </c>
    </row>
    <row r="5" spans="1:3">
      <c r="A5" t="s">
        <v>583</v>
      </c>
      <c r="B5" s="147">
        <f>COUNTIF(Tableau_operations[Cout total HT (€/ha)],0)</f>
        <v>13</v>
      </c>
      <c r="C5" t="s">
        <v>584</v>
      </c>
    </row>
    <row r="6" spans="1:3">
      <c r="A6" t="s">
        <v>585</v>
      </c>
      <c r="B6" s="147" cm="1">
        <f t="array" ref="B6">SUMPRODUCT(--(Tableau_operations[Code_intrant]&lt;&gt;""))</f>
        <v>5</v>
      </c>
      <c r="C6" t="s">
        <v>586</v>
      </c>
    </row>
    <row r="7" spans="1:3">
      <c r="A7" t="s">
        <v>587</v>
      </c>
      <c r="B7" s="147" cm="1">
        <f t="array" ref="B7">SUMPRODUCT(--(Tableau_operations[Code_intrant]&lt;&gt;""),--(Tableau_operations[Cout_intrant_ha]=0))</f>
        <v>0</v>
      </c>
      <c r="C7" t="s">
        <v>588</v>
      </c>
    </row>
    <row r="8" spans="1:3">
      <c r="A8" t="s">
        <v>589</v>
      </c>
      <c r="B8" s="147" cm="1">
        <f t="array" ref="B8">SUMPRODUCT(--(NOT(ISNUMBER(Tableau_MO[Coût_total_€/h]))))</f>
        <v>1</v>
      </c>
      <c r="C8" t="s">
        <v>590</v>
      </c>
    </row>
    <row r="9" spans="1:3">
      <c r="A9" t="s">
        <v>591</v>
      </c>
      <c r="B9" s="147" cm="1">
        <f t="array" ref="B9">SUMPRODUCT(--(NOT(ISNUMBER(Tableau_intrants[Prix]))))</f>
        <v>123</v>
      </c>
      <c r="C9" t="s">
        <v>592</v>
      </c>
    </row>
    <row r="10" spans="1:3">
      <c r="A10" t="s">
        <v>593</v>
      </c>
      <c r="B10" s="147" cm="1">
        <f t="array" ref="B10">SUMPRODUCT(--(COUNTIF(Tableau_scenarios[ID_scenario],Tableau_aoc[SCENARIO])=0))</f>
        <v>35</v>
      </c>
      <c r="C10" t="s">
        <v>594</v>
      </c>
    </row>
    <row r="11">
      <c r="A11" t="s">
        <v>595</v>
      </c>
      <c r="B11" s="147">
        <f>COUNTIF(Tableau_scenarios[Cout_op],0)</f>
        <v>0</v>
      </c>
      <c r="C11" t="s">
        <v>596</v>
      </c>
    </row>
    <row r="12">
      <c r="A12" t="s">
        <v>734</v>
      </c>
      <c r="B12" s="147">
        <f>SUMPRODUCT(--(COUNTIF(Tableau_operations[Code_op],Tableau_scenarios[Code_op])=0))</f>
      </c>
      <c r="C12" t="s">
        <v>735</v>
      </c>
    </row>
    <row r="13">
      <c r="A13" s="114" t="s">
        <v>736</v>
      </c>
      <c r="B13" s="147">
        <f>SUMPRODUCT(--(COUNTIF(Tableau_operations[Code_op],Tableau_operations[Code_op])&gt;1))+COUNTBLANK(Tableau_operations[Code_op])</f>
      </c>
      <c r="C13" t="s">
        <v>737</v>
      </c>
    </row>
    <row r="14">
      <c r="A14" t="s" s="114">
        <v>738</v>
      </c>
      <c r="B14" s="147">
        <f>SUMPRODUCT(--(COUNTIF(Tableau_intrants[Code_intrant],Tableau_intrants[Code_intrant])&gt;1))</f>
      </c>
      <c r="C14" t="s">
        <v>739</v>
      </c>
    </row>
    <row r="15">
      <c r="A15" s="114"/>
    </row>
    <row r="16">
      <c r="A16" t="s" s="114">
        <v>740</v>
      </c>
    </row>
  </sheetData>
  <conditionalFormatting sqref="B4">
    <cfRule type="cellIs" dxfId="93" priority="1" operator="greaterThan">
      <formula>0</formula>
    </cfRule>
  </conditionalFormatting>
  <conditionalFormatting sqref="B7">
    <cfRule type="cellIs" dxfId="92" priority="2" operator="greaterThan">
      <formula>0</formula>
    </cfRule>
  </conditionalFormatting>
  <conditionalFormatting sqref="B11">
    <cfRule type="cellIs" dxfId="91" priority="3" operator="greaterThan">
      <formula>0</formula>
    </cfRule>
  </conditionalFormatting>
  <conditionalFormatting sqref="B5">
    <cfRule type="cellIs" dxfId="90" priority="4" operator="greaterThan">
      <formula>0</formula>
    </cfRule>
  </conditionalFormatting>
  <conditionalFormatting sqref="B8">
    <cfRule type="cellIs" dxfId="89" priority="5" operator="greaterThan">
      <formula>0</formula>
    </cfRule>
  </conditionalFormatting>
  <conditionalFormatting sqref="B9">
    <cfRule type="cellIs" dxfId="88" priority="6" operator="greaterThan">
      <formula>0</formula>
    </cfRule>
  </conditionalFormatting>
  <conditionalFormatting sqref="B10">
    <cfRule type="cellIs" dxfId="87" priority="7" operator="greaterThan">
      <formula>0</formula>
    </cfRule>
  </conditionalFormatting>
  <conditionalFormatting sqref="B12">
    <cfRule type="cellIs" dxfId="86" priority="8" operator="greaterThan">
      <formula>0</formula>
    </cfRule>
  </conditionalFormatting>
  <conditionalFormatting sqref="B13">
    <cfRule type="cellIs" dxfId="85" priority="9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AOC</vt:lpstr>
      <vt:lpstr>SCENARIOS</vt:lpstr>
      <vt:lpstr>OPERATIONS_VIGNE</vt:lpstr>
      <vt:lpstr>BAREMES_MO</vt:lpstr>
      <vt:lpstr>BAREMES_MECANIQUE</vt:lpstr>
      <vt:lpstr>BAREMES_INTRANTS</vt:lpstr>
      <vt:lpstr>DEBIT_CHANTIER</vt:lpstr>
      <vt:lpstr>CONTROLES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Geoffroy Houdard</dc:creator>
  <cp:keywords/>
  <dc:description/>
  <cp:lastModifiedBy>Geoffroy Houdard</cp:lastModifiedBy>
  <cp:revision/>
  <dcterms:created xsi:type="dcterms:W3CDTF">2015-06-05T18:19:34Z</dcterms:created>
  <dcterms:modified xsi:type="dcterms:W3CDTF">2026-09-18T14:22:42Z</dcterms:modified>
  <cp:category/>
  <cp:contentStatus/>
</cp:coreProperties>
</file>